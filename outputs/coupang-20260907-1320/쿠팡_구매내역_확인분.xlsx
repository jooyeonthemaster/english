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c9d650760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b1952b3fa224552"/>
    <x:sheet xmlns:r="http://schemas.openxmlformats.org/officeDocument/2006/relationships" name="주문별결제" sheetId="2" r:id="Rc705acb44a4a4344"/>
    <x:sheet xmlns:r="http://schemas.openxmlformats.org/officeDocument/2006/relationships" name="상품내역" sheetId="3" r:id="Rbcf374267ba04c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&quot;원&quot;"/>
  </x:numFmts>
  <x:fonts count="7">
    <x:font>
      <x:sz val="11"/>
      <x:name val="Carlito"/>
    </x:font>
    <x:font>
      <x:sz val="11"/>
      <x:color rgb="FF243244"/>
      <x:name val="Arial"/>
    </x:font>
    <x:font>
      <x:b/>
      <x:sz val="16"/>
      <x:color rgb="FF233C63"/>
      <x:name val="Arial"/>
    </x:font>
    <x:font>
      <x:i/>
      <x:sz val="10"/>
      <x:color rgb="FF58677A"/>
      <x:name val="Arial"/>
    </x:font>
    <x:font>
      <x:b/>
      <x:sz val="11"/>
      <x:color rgb="FFFFFFFF"/>
      <x:name val="Arial"/>
    </x:font>
    <x:font>
      <x:sz val="11"/>
      <x:color rgb="FF9A5100"/>
      <x:name val="Arial"/>
    </x:font>
    <x:font>
      <x:b/>
      <x:sz val="11"/>
      <x:color rgb="FF2432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C63"/>
      </x:patternFill>
    </x:fill>
    <x:fill>
      <x:patternFill patternType="solid">
        <x:fgColor rgb="FFEEF3FA"/>
      </x:patternFill>
    </x:fill>
  </x:fills>
  <x:borders count="2">
    <x:border/>
    <x:border>
      <x:bottom style="thin">
        <x:color rgb="FFB7C5D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875313"/>
      </x:font>
      <x:fill>
        <x:patternFill patternType="solid">
          <x:bgColor rgb="FFFFF2DE"/>
        </x:patternFill>
      </x:fill>
    </x:dxf>
    <x:dxf>
      <x:font>
        <x:color rgb="FF875313"/>
      </x:font>
      <x:fill>
        <x:patternFill patternType="solid">
          <x:bgColor rgb="FFFFF2DE"/>
        </x:patternFill>
      </x:fill>
    </x:dxf>
    <x:dxf>
      <x:font>
        <x:color rgb="FF875313"/>
      </x:font>
      <x:fill>
        <x:patternFill patternType="solid">
          <x:bgColor rgb="FFFFF2DE"/>
        </x:patternFill>
      </x:fill>
    </x:dxf>
    <x:dxf>
      <x:font>
        <x:color rgb="FF875313"/>
      </x:font>
      <x:fill>
        <x:patternFill patternType="solid">
          <x:bgColor rgb="FFFFF2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0c1dca67d470e" /><Relationship Type="http://schemas.openxmlformats.org/officeDocument/2006/relationships/theme" Target="/xl/theme/theme1.xml" Id="Rdb562b4e391d47ca" /><Relationship Type="http://schemas.openxmlformats.org/officeDocument/2006/relationships/sharedStrings" Target="/xl/sharedStrings.xml" Id="R62b672863f4c4f4a" /><Relationship Type="http://schemas.openxmlformats.org/officeDocument/2006/relationships/worksheet" Target="/xl/worksheets/sheet1.xml" Id="Rdb1952b3fa224552" /><Relationship Type="http://schemas.openxmlformats.org/officeDocument/2006/relationships/worksheet" Target="/xl/worksheets/sheet2.xml" Id="Rc705acb44a4a4344" /><Relationship Type="http://schemas.openxmlformats.org/officeDocument/2006/relationships/worksheet" Target="/xl/worksheets/sheet3.xml" Id="Rbcf374267ba04ca1" /></Relationships>
</file>

<file path=xl/tables/table1.xml><?xml version="1.0" encoding="utf-8"?>
<x:table xmlns:x="http://schemas.openxmlformats.org/spreadsheetml/2006/main" id="1" name="Orders" displayName="Orders" ref="A6:L51" headerRowCount="1" totalsRowCount="0" totalsRowShown="0">
  <x:tableColumns count="12">
    <x:tableColumn id="1" name="주문일"/>
    <x:tableColumn id="2" name="연도"/>
    <x:tableColumn id="3" name="주문번호"/>
    <x:tableColumn id="4" name="상태"/>
    <x:tableColumn id="5" name="품목 수"/>
    <x:tableColumn id="6" name="결제표시액"/>
    <x:tableColumn id="7" name="환불완료액"/>
    <x:tableColumn id="8" name="차감 후 금액"/>
    <x:tableColumn id="9" name="최초 배송비"/>
    <x:tableColumn id="10" name="선물 포장비"/>
    <x:tableColumn id="11" name="주문상세 출처"/>
    <x:tableColumn id="12" name="환불상세 출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rchasedItems" displayName="PurchasedItems" ref="A6:H56" headerRowCount="1" totalsRowCount="0" totalsRowShown="0">
  <x:tableColumns count="8">
    <x:tableColumn id="1" name="주문일"/>
    <x:tableColumn id="2" name="주문번호"/>
    <x:tableColumn id="3" name="상품 및 옵션"/>
    <x:tableColumn id="4" name="상태"/>
    <x:tableColumn id="5" name="표시 단가"/>
    <x:tableColumn id="6" name="주문 수량"/>
    <x:tableColumn id="7" name="표시금액 × 수량"/>
    <x:tableColumn id="8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1eabf7503747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f313884b624d52" /></Relationships>
</file>

<file path=xl/worksheets/sheet1.xml><?xml version="1.0" encoding="utf-8"?>
<x:worksheet xmlns:x="http://schemas.openxmlformats.org/spreadsheetml/2006/main">
  <x:sheetPr>
    <x:tabColor rgb="FF233C63"/>
  </x:sheetPr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0" hidden="0" customWidth="1"/>
    <x:col min="4" max="4" width="19" hidden="0" customWidth="1"/>
    <x:col min="5" max="5" width="19" hidden="0" customWidth="1"/>
    <x:col min="6" max="6" width="19" hidden="0" customWidth="1"/>
    <x:col min="7" max="7" width="1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쿠팡 구매내역 — 확인된 45건</x:v>
      </x:c>
      <x:c r="B2" s="2"/>
      <x:c r="C2" s="2"/>
      <x:c r="D2" s="2"/>
      <x:c r="E2" s="2"/>
      <x:c r="F2" s="2"/>
      <x:c r="G2" s="2"/>
    </x:row>
    <x:row r="3" ht="25" customHeight="1">
      <x:c r="A3" s="4"/>
      <x:c r="B3" s="4"/>
      <x:c r="C3" s="4"/>
      <x:c r="D3" s="4"/>
      <x:c r="E3" s="4"/>
      <x:c r="F3" s="4"/>
      <x:c r="G3" s="4"/>
    </x:row>
    <x:row r="4" ht="25" customHeight="1">
      <x:c r="A4" s="19" t="str">
        <x:v>전체 누적액 미확정: 쿠팡 접근 제한으로 2024년 일부와 이전 연도는 미조회.</x:v>
      </x:c>
      <x:c r="B4" s="19"/>
      <x:c r="C4" s="19"/>
      <x:c r="D4" s="19"/>
      <x:c r="E4" s="19"/>
      <x:c r="F4" s="19"/>
      <x:c r="G4" s="19"/>
    </x:row>
    <x:row r="5" ht="25" customHeight="1">
      <x:c r="A5" s="2"/>
      <x:c r="B5" s="2"/>
      <x:c r="C5" s="2"/>
      <x:c r="D5" s="2"/>
      <x:c r="E5" s="2"/>
      <x:c r="F5" s="2"/>
      <x:c r="G5" s="2"/>
    </x:row>
    <x:row r="6" ht="32" customHeight="1">
      <x:c r="A6" s="3" t="str">
        <x:v>환불 차감 후 확인 금액</x:v>
      </x:c>
      <x:c r="B6" s="3"/>
      <x:c r="C6" s="20" t="n">
        <x:f>SUM('주문별결제'!H7:H51)</x:f>
        <x:v>5179550</x:v>
      </x:c>
      <x:c r="D6" s="2"/>
      <x:c r="E6" s="2"/>
      <x:c r="F6" s="2"/>
      <x:c r="G6" s="2"/>
    </x:row>
    <x:row r="7" ht="25" customHeight="1">
      <x:c r="A7" s="2"/>
      <x:c r="B7" s="2"/>
      <x:c r="C7" s="2"/>
      <x:c r="D7" s="2"/>
      <x:c r="E7" s="2"/>
      <x:c r="F7" s="2"/>
      <x:c r="G7" s="2"/>
    </x:row>
    <x:row r="8" ht="25" customHeight="1">
      <x:c r="A8" s="2"/>
      <x:c r="B8" s="2"/>
      <x:c r="C8" s="2"/>
      <x:c r="D8" s="2"/>
      <x:c r="E8" s="2"/>
      <x:c r="F8" s="2"/>
      <x:c r="G8" s="2"/>
    </x:row>
    <x:row r="9" ht="34" customHeight="1">
      <x:c r="A9" s="17" t="str">
        <x:v>연도</x:v>
      </x:c>
      <x:c r="B9" s="17" t="str">
        <x:v>조회 상태</x:v>
      </x:c>
      <x:c r="C9" s="17" t="str">
        <x:v>주문 수</x:v>
      </x:c>
      <x:c r="D9" s="17" t="str">
        <x:v>결제표시액</x:v>
      </x:c>
      <x:c r="E9" s="17" t="str">
        <x:v>환불완료액</x:v>
      </x:c>
      <x:c r="F9" s="17" t="str">
        <x:v>차감 후 금액</x:v>
      </x:c>
      <x:c r="G9" s="2"/>
    </x:row>
    <x:row r="10" ht="25" customHeight="1">
      <x:c r="A10" s="2" t="n">
        <x:v>2026</x:v>
      </x:c>
      <x:c r="B10" s="2" t="str">
        <x:v>현재까지 전체</x:v>
      </x:c>
      <x:c r="C10" s="2" t="n">
        <x:f>COUNTIFS('주문별결제'!$B$7:$B$51,A10)</x:f>
        <x:v>14</x:v>
      </x:c>
      <x:c r="D10" s="12" t="n">
        <x:f>SUMIFS('주문별결제'!$F$7:$F$51,'주문별결제'!$B$7:$B$51,A10)</x:f>
        <x:v>1160590</x:v>
      </x:c>
      <x:c r="E10" s="12" t="n">
        <x:f>SUMIFS('주문별결제'!$G$7:$G$51,'주문별결제'!$B$7:$B$51,A10)</x:f>
        <x:v>97900</x:v>
      </x:c>
      <x:c r="F10" s="12" t="n">
        <x:f>SUMIFS('주문별결제'!$H$7:$H$51,'주문별결제'!$B$7:$B$51,A10)</x:f>
        <x:v>1062690</x:v>
      </x:c>
      <x:c r="G10" s="2"/>
    </x:row>
    <x:row r="11" ht="25" customHeight="1">
      <x:c r="A11" s="2" t="n">
        <x:v>2025</x:v>
      </x:c>
      <x:c r="B11" s="2" t="str">
        <x:v>연간 전체</x:v>
      </x:c>
      <x:c r="C11" s="2" t="n">
        <x:f>COUNTIFS('주문별결제'!$B$7:$B$51,A11)</x:f>
        <x:v>16</x:v>
      </x:c>
      <x:c r="D11" s="12" t="n">
        <x:f>SUMIFS('주문별결제'!$F$7:$F$51,'주문별결제'!$B$7:$B$51,A11)</x:f>
        <x:v>7972190</x:v>
      </x:c>
      <x:c r="E11" s="12" t="n">
        <x:f>SUMIFS('주문별결제'!$G$7:$G$51,'주문별결제'!$B$7:$B$51,A11)</x:f>
        <x:v>4725900</x:v>
      </x:c>
      <x:c r="F11" s="12" t="n">
        <x:f>SUMIFS('주문별결제'!$H$7:$H$51,'주문별결제'!$B$7:$B$51,A11)</x:f>
        <x:v>3246290</x:v>
      </x:c>
      <x:c r="G11" s="2"/>
    </x:row>
    <x:row r="12" ht="25" customHeight="1">
      <x:c r="A12" s="2" t="n">
        <x:v>2024</x:v>
      </x:c>
      <x:c r="B12" s="2" t="str">
        <x:v>일부 (4/23~12/18)</x:v>
      </x:c>
      <x:c r="C12" s="2" t="n">
        <x:f>COUNTIFS('주문별결제'!$B$7:$B$51,A12)</x:f>
        <x:v>15</x:v>
      </x:c>
      <x:c r="D12" s="12" t="n">
        <x:f>SUMIFS('주문별결제'!$F$7:$F$51,'주문별결제'!$B$7:$B$51,A12)</x:f>
        <x:v>2329870</x:v>
      </x:c>
      <x:c r="E12" s="12" t="n">
        <x:f>SUMIFS('주문별결제'!$G$7:$G$51,'주문별결제'!$B$7:$B$51,A12)</x:f>
        <x:v>1459300</x:v>
      </x:c>
      <x:c r="F12" s="12" t="n">
        <x:f>SUMIFS('주문별결제'!$H$7:$H$51,'주문별결제'!$B$7:$B$51,A12)</x:f>
        <x:v>870570</x:v>
      </x:c>
      <x:c r="G12" s="2"/>
    </x:row>
    <x:row r="13" ht="25" customHeight="1">
      <x:c r="A13" s="2" t="n">
        <x:v>2023</x:v>
      </x:c>
      <x:c r="B13" s="2" t="str">
        <x:v>미조회</x:v>
      </x:c>
      <x:c r="C13" s="2"/>
      <x:c r="D13" s="12"/>
      <x:c r="E13" s="12"/>
      <x:c r="F13" s="12"/>
      <x:c r="G13" s="2"/>
    </x:row>
    <x:row r="14" ht="25" customHeight="1">
      <x:c r="A14" s="2" t="n">
        <x:v>2022</x:v>
      </x:c>
      <x:c r="B14" s="2" t="str">
        <x:v>미조회</x:v>
      </x:c>
      <x:c r="C14" s="2"/>
      <x:c r="D14" s="12"/>
      <x:c r="E14" s="12"/>
      <x:c r="F14" s="12"/>
      <x:c r="G14" s="2"/>
    </x:row>
    <x:row r="15" ht="25" customHeight="1">
      <x:c r="A15" s="2" t="n">
        <x:v>2021</x:v>
      </x:c>
      <x:c r="B15" s="2" t="str">
        <x:v>미조회</x:v>
      </x:c>
      <x:c r="C15" s="2"/>
      <x:c r="D15" s="12"/>
      <x:c r="E15" s="12"/>
      <x:c r="F15" s="12"/>
      <x:c r="G15" s="2"/>
    </x:row>
    <x:row r="16" ht="25" customHeight="1">
      <x:c r="A16" s="22" t="str">
        <x:v>확인분 합계</x:v>
      </x:c>
      <x:c r="B16" s="22"/>
      <x:c r="C16" s="22" t="n">
        <x:f>SUM(C10:C12)</x:f>
        <x:v>45</x:v>
      </x:c>
      <x:c r="D16" s="24" t="n">
        <x:f>SUM(D10:D12)</x:f>
        <x:v>11462650</x:v>
      </x:c>
      <x:c r="E16" s="24" t="n">
        <x:f>SUM(E10:E12)</x:f>
        <x:v>6283100</x:v>
      </x:c>
      <x:c r="F16" s="24" t="n">
        <x:f>SUM(F10:F12)</x:f>
        <x:v>5179550</x:v>
      </x:c>
      <x:c r="G16" s="2"/>
    </x:row>
    <x:row r="17" ht="25" customHeight="1">
      <x:c r="A17" s="2"/>
      <x:c r="B17" s="2"/>
      <x:c r="C17" s="2"/>
      <x:c r="D17" s="2"/>
      <x:c r="E17" s="2"/>
      <x:c r="F17" s="2"/>
      <x:c r="G17" s="2"/>
    </x:row>
    <x:row r="18" ht="25" customHeight="1">
      <x:c r="A18" s="2"/>
      <x:c r="B18" s="2"/>
      <x:c r="C18" s="2"/>
      <x:c r="D18" s="2"/>
      <x:c r="E18" s="2"/>
      <x:c r="F18" s="2"/>
      <x:c r="G18" s="2"/>
    </x:row>
    <x:row r="19" ht="25" customHeight="1">
      <x:c r="A19" s="25" t="str">
        <x:v>계산 기준</x:v>
      </x:c>
      <x:c r="B19" s="2"/>
      <x:c r="C19" s="2"/>
      <x:c r="D19" s="2"/>
      <x:c r="E19" s="2"/>
      <x:c r="F19" s="2"/>
      <x:c r="G19" s="2"/>
    </x:row>
    <x:row r="20" ht="25" customHeight="1">
      <x:c r="A20" s="2" t="str">
        <x:v>결제표시액은 주문상세의 금액이며, 결제실패 자동취소 주문도 포함됩니다.</x:v>
      </x:c>
      <x:c r="B20" s="2"/>
      <x:c r="C20" s="2"/>
      <x:c r="D20" s="2"/>
      <x:c r="E20" s="2"/>
      <x:c r="F20" s="2"/>
      <x:c r="G20" s="2"/>
    </x:row>
    <x:row r="21" ht="25" customHeight="1">
      <x:c r="A21" s="2" t="str">
        <x:v>차감 후 금액 = 결제표시액 − 쿠팡 상세에 표시된 환불완료액.</x:v>
      </x:c>
      <x:c r="B21" s="2"/>
      <x:c r="C21" s="2"/>
      <x:c r="D21" s="2"/>
      <x:c r="E21" s="2"/>
      <x:c r="F21" s="2"/>
      <x:c r="G21" s="2"/>
    </x:row>
    <x:row r="22" ht="25" customHeight="1">
      <x:c r="A22" s="2" t="str">
        <x:v>배송비·선물 포장비를 포함합니다. 별도 멤버십 회비·쿠팡이츠 등은 대상이 아닙니다.</x:v>
      </x:c>
      <x:c r="B22" s="2"/>
      <x:c r="C22" s="2"/>
      <x:c r="D22" s="2"/>
      <x:c r="E22" s="2"/>
      <x:c r="F22" s="2"/>
      <x:c r="G22" s="2"/>
    </x:row>
    <x:row r="23" ht="25" customHeight="1">
      <x:c r="A23" s="2" t="str">
        <x:v>화병 반품: 결제 47,000원 − 환불 40,500원 = 남은 배송·반품 비용 6,500원.</x:v>
      </x:c>
      <x:c r="B23" s="2"/>
      <x:c r="C23" s="2"/>
      <x:c r="D23" s="2"/>
      <x:c r="E23" s="2"/>
      <x:c r="F23" s="2"/>
      <x:c r="G23" s="2"/>
    </x:row>
    <x:row r="24" ht="25" customHeight="1">
      <x:c r="A24" s="2" t="str">
        <x:v>수량은 주문한 묶음 수입니다. 상품명 속 구성품 수량과 별도로 보세요.</x:v>
      </x:c>
      <x:c r="B24" s="2"/>
      <x:c r="C24" s="2"/>
      <x:c r="D24" s="2"/>
      <x:c r="E24" s="2"/>
      <x:c r="F24" s="2"/>
      <x:c r="G24" s="2"/>
    </x:row>
    <x:row r="25" ht="25" customHeight="1">
      <x:c r="A25" s="2" t="str">
        <x:v>주문목록에서 삭제된 과거 내역은 확인할 수 없으며, 미조회 기간을 0원으로 처리하지 않았습니다.</x:v>
      </x:c>
      <x:c r="B25" s="2"/>
      <x:c r="C25" s="2"/>
      <x:c r="D25" s="2"/>
      <x:c r="E25" s="2"/>
      <x:c r="F25" s="2"/>
      <x:c r="G25" s="2"/>
    </x:row>
    <x:row r="26" ht="25" customHeight="1">
      <x:c r="A26" s="2"/>
      <x:c r="B26" s="2"/>
      <x:c r="C26" s="2"/>
      <x:c r="D26" s="2"/>
      <x:c r="E26" s="2"/>
      <x:c r="F26" s="2"/>
      <x:c r="G26" s="2"/>
    </x:row>
    <x:row r="27" ht="25" customHeight="1">
      <x:c r="A27" s="5" t="str">
        <x:v>조회 기준일: 2026-09-07. 현재 확인 범위: 2024-04-23 ~ 2026-08-27.</x:v>
      </x:c>
      <x:c r="B27" s="5"/>
      <x:c r="C27" s="5"/>
      <x:c r="D27" s="5"/>
      <x:c r="E27" s="5"/>
      <x:c r="F27" s="5"/>
      <x:c r="G27" s="5"/>
    </x:row>
    <x:row r="28" ht="25" customHeight="1">
      <x:c r="A28" s="2"/>
      <x:c r="B28" s="2"/>
      <x:c r="C28" s="2"/>
      <x:c r="D28" s="2"/>
      <x:c r="E28" s="2"/>
      <x:c r="F28" s="2"/>
      <x:c r="G28" s="2"/>
    </x:row>
    <x:row r="29" ht="25" customHeight="1">
      <x:c r="A29" s="2"/>
      <x:c r="B29" s="2"/>
      <x:c r="C29" s="2"/>
      <x:c r="D29" s="2"/>
      <x:c r="E29" s="2"/>
      <x:c r="F29" s="2"/>
      <x:c r="G2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9" hidden="0" customWidth="1"/>
    <x:col min="3" max="3" width="21" hidden="0" customWidth="1"/>
    <x:col min="4" max="4" width="13" hidden="0" customWidth="1"/>
    <x:col min="5" max="5" width="1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70" hidden="0" customWidth="1"/>
    <x:col min="12" max="12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쿠팡 주문별 결제 내역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5" t="str">
        <x:v>출처: 로그인한 쿠팡 주문상세와 취소·반품 상세 화면. 2026-09-07 조회.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17" t="str">
        <x:v>주문일</x:v>
      </x:c>
      <x:c r="B6" s="17" t="str">
        <x:v>연도</x:v>
      </x:c>
      <x:c r="C6" s="17" t="str">
        <x:v>주문번호</x:v>
      </x:c>
      <x:c r="D6" s="17" t="str">
        <x:v>상태</x:v>
      </x:c>
      <x:c r="E6" s="17" t="str">
        <x:v>품목 수</x:v>
      </x:c>
      <x:c r="F6" s="17" t="str">
        <x:v>결제표시액</x:v>
      </x:c>
      <x:c r="G6" s="17" t="str">
        <x:v>환불완료액</x:v>
      </x:c>
      <x:c r="H6" s="17" t="str">
        <x:v>차감 후 금액</x:v>
      </x:c>
      <x:c r="I6" s="17" t="str">
        <x:v>최초 배송비</x:v>
      </x:c>
      <x:c r="J6" s="17" t="str">
        <x:v>선물 포장비</x:v>
      </x:c>
      <x:c r="K6" s="17" t="str">
        <x:v>주문상세 출처</x:v>
      </x:c>
      <x:c r="L6" s="17" t="str">
        <x:v>환불상세 출처</x:v>
      </x:c>
    </x:row>
    <x:row r="7" ht="25" customHeight="1">
      <x:c r="A7" s="6" t="n">
        <x:v>46261</x:v>
      </x:c>
      <x:c r="B7" s="2" t="n">
        <x:v>2026</x:v>
      </x:c>
      <x:c r="C7" s="8" t="str">
        <x:v>25102568876883</x:v>
      </x:c>
      <x:c r="D7" s="2" t="str">
        <x:v>배송완료</x:v>
      </x:c>
      <x:c r="E7" s="2" t="n">
        <x:v>1</x:v>
      </x:c>
      <x:c r="F7" s="12" t="n">
        <x:v>16900</x:v>
      </x:c>
      <x:c r="G7" s="12" t="n">
        <x:v>0</x:v>
      </x:c>
      <x:c r="H7" s="12" t="n">
        <x:f>F7-G7</x:f>
        <x:v>16900</x:v>
      </x:c>
      <x:c r="I7" s="12" t="n">
        <x:v>0</x:v>
      </x:c>
      <x:c r="J7" s="12" t="n">
        <x:v>0</x:v>
      </x:c>
      <x:c r="K7" s="2" t="str">
        <x:v>https://mc.coupang.com/ssr/desktop/order/25102568876883</x:v>
      </x:c>
      <x:c r="L7" s="2" t="str"/>
    </x:row>
    <x:row r="8" ht="25" customHeight="1">
      <x:c r="A8" s="6" t="n">
        <x:v>46252</x:v>
      </x:c>
      <x:c r="B8" s="2" t="n">
        <x:v>2026</x:v>
      </x:c>
      <x:c r="C8" s="8" t="str">
        <x:v>25102374952396</x:v>
      </x:c>
      <x:c r="D8" s="2" t="str">
        <x:v>배송완료</x:v>
      </x:c>
      <x:c r="E8" s="2" t="n">
        <x:v>2</x:v>
      </x:c>
      <x:c r="F8" s="12" t="n">
        <x:v>205900</x:v>
      </x:c>
      <x:c r="G8" s="12" t="n">
        <x:v>0</x:v>
      </x:c>
      <x:c r="H8" s="12" t="n">
        <x:f>F8-G8</x:f>
        <x:v>205900</x:v>
      </x:c>
      <x:c r="I8" s="12" t="n">
        <x:v>0</x:v>
      </x:c>
      <x:c r="J8" s="12" t="n">
        <x:v>0</x:v>
      </x:c>
      <x:c r="K8" s="2" t="str">
        <x:v>https://mc.coupang.com/ssr/desktop/order/25102374952396</x:v>
      </x:c>
      <x:c r="L8" s="2" t="str"/>
    </x:row>
    <x:row r="9" ht="25" customHeight="1">
      <x:c r="A9" s="6" t="n">
        <x:v>46217</x:v>
      </x:c>
      <x:c r="B9" s="2" t="n">
        <x:v>2026</x:v>
      </x:c>
      <x:c r="C9" s="8" t="str">
        <x:v>25101617657783</x:v>
      </x:c>
      <x:c r="D9" s="2" t="str">
        <x:v>배송완료</x:v>
      </x:c>
      <x:c r="E9" s="2" t="n">
        <x:v>1</x:v>
      </x:c>
      <x:c r="F9" s="12" t="n">
        <x:v>19020</x:v>
      </x:c>
      <x:c r="G9" s="12" t="n">
        <x:v>0</x:v>
      </x:c>
      <x:c r="H9" s="12" t="n">
        <x:f>F9-G9</x:f>
        <x:v>19020</x:v>
      </x:c>
      <x:c r="I9" s="12" t="n">
        <x:v>0</x:v>
      </x:c>
      <x:c r="J9" s="12" t="n">
        <x:v>0</x:v>
      </x:c>
      <x:c r="K9" s="2" t="str">
        <x:v>https://mc.coupang.com/ssr/desktop/order/25101617657783</x:v>
      </x:c>
      <x:c r="L9" s="2" t="str"/>
    </x:row>
    <x:row r="10" ht="25" customHeight="1">
      <x:c r="A10" s="6" t="n">
        <x:v>46208</x:v>
      </x:c>
      <x:c r="B10" s="2" t="n">
        <x:v>2026</x:v>
      </x:c>
      <x:c r="C10" s="8" t="str">
        <x:v>25101417287137</x:v>
      </x:c>
      <x:c r="D10" s="2" t="str">
        <x:v>배송완료</x:v>
      </x:c>
      <x:c r="E10" s="2" t="n">
        <x:v>1</x:v>
      </x:c>
      <x:c r="F10" s="12" t="n">
        <x:v>105000</x:v>
      </x:c>
      <x:c r="G10" s="12" t="n">
        <x:v>0</x:v>
      </x:c>
      <x:c r="H10" s="12" t="n">
        <x:f>F10-G10</x:f>
        <x:v>105000</x:v>
      </x:c>
      <x:c r="I10" s="12" t="n">
        <x:v>0</x:v>
      </x:c>
      <x:c r="J10" s="12" t="n">
        <x:v>0</x:v>
      </x:c>
      <x:c r="K10" s="2" t="str">
        <x:v>https://mc.coupang.com/ssr/desktop/order/25101417287137</x:v>
      </x:c>
      <x:c r="L10" s="2" t="str"/>
    </x:row>
    <x:row r="11" ht="25" customHeight="1">
      <x:c r="A11" s="6" t="n">
        <x:v>46182</x:v>
      </x:c>
      <x:c r="B11" s="2" t="n">
        <x:v>2026</x:v>
      </x:c>
      <x:c r="C11" s="8" t="str">
        <x:v>25100196799299</x:v>
      </x:c>
      <x:c r="D11" s="2" t="str">
        <x:v>배송완료</x:v>
      </x:c>
      <x:c r="E11" s="2" t="n">
        <x:v>1</x:v>
      </x:c>
      <x:c r="F11" s="12" t="n">
        <x:v>23800</x:v>
      </x:c>
      <x:c r="G11" s="12" t="n">
        <x:v>0</x:v>
      </x:c>
      <x:c r="H11" s="12" t="n">
        <x:f>F11-G11</x:f>
        <x:v>23800</x:v>
      </x:c>
      <x:c r="I11" s="12" t="n">
        <x:v>0</x:v>
      </x:c>
      <x:c r="J11" s="12" t="n">
        <x:v>0</x:v>
      </x:c>
      <x:c r="K11" s="2" t="str">
        <x:v>https://mc.coupang.com/ssr/desktop/order/25100196799299</x:v>
      </x:c>
      <x:c r="L11" s="2" t="str"/>
    </x:row>
    <x:row r="12" ht="25" customHeight="1">
      <x:c r="A12" s="6" t="n">
        <x:v>46182</x:v>
      </x:c>
      <x:c r="B12" s="2" t="n">
        <x:v>2026</x:v>
      </x:c>
      <x:c r="C12" s="8" t="str">
        <x:v>25100196799104</x:v>
      </x:c>
      <x:c r="D12" s="2" t="str">
        <x:v>배송완료</x:v>
      </x:c>
      <x:c r="E12" s="2" t="n">
        <x:v>1</x:v>
      </x:c>
      <x:c r="F12" s="12" t="n">
        <x:v>24900</x:v>
      </x:c>
      <x:c r="G12" s="12" t="n">
        <x:v>0</x:v>
      </x:c>
      <x:c r="H12" s="12" t="n">
        <x:f>F12-G12</x:f>
        <x:v>24900</x:v>
      </x:c>
      <x:c r="I12" s="12" t="n">
        <x:v>0</x:v>
      </x:c>
      <x:c r="J12" s="12" t="n">
        <x:v>0</x:v>
      </x:c>
      <x:c r="K12" s="2" t="str">
        <x:v>https://mc.coupang.com/ssr/desktop/order/25100196799104</x:v>
      </x:c>
      <x:c r="L12" s="2" t="str"/>
    </x:row>
    <x:row r="13" ht="25" customHeight="1">
      <x:c r="A13" s="6" t="n">
        <x:v>46158</x:v>
      </x:c>
      <x:c r="B13" s="2" t="n">
        <x:v>2026</x:v>
      </x:c>
      <x:c r="C13" s="8" t="str">
        <x:v>25100191471969</x:v>
      </x:c>
      <x:c r="D13" s="2" t="str">
        <x:v>배송완료</x:v>
      </x:c>
      <x:c r="E13" s="2" t="n">
        <x:v>1</x:v>
      </x:c>
      <x:c r="F13" s="12" t="n">
        <x:v>279000</x:v>
      </x:c>
      <x:c r="G13" s="12" t="n">
        <x:v>0</x:v>
      </x:c>
      <x:c r="H13" s="12" t="n">
        <x:f>F13-G13</x:f>
        <x:v>279000</x:v>
      </x:c>
      <x:c r="I13" s="12" t="n">
        <x:v>0</x:v>
      </x:c>
      <x:c r="J13" s="12" t="n">
        <x:v>0</x:v>
      </x:c>
      <x:c r="K13" s="2" t="str">
        <x:v>https://mc.coupang.com/ssr/desktop/order/25100191471969</x:v>
      </x:c>
      <x:c r="L13" s="2" t="str"/>
    </x:row>
    <x:row r="14" ht="25" customHeight="1">
      <x:c r="A14" s="6" t="n">
        <x:v>46155</x:v>
      </x:c>
      <x:c r="B14" s="2" t="n">
        <x:v>2026</x:v>
      </x:c>
      <x:c r="C14" s="8" t="str">
        <x:v>25100190712860</x:v>
      </x:c>
      <x:c r="D14" s="2" t="str">
        <x:v>배송완료</x:v>
      </x:c>
      <x:c r="E14" s="2" t="n">
        <x:v>1</x:v>
      </x:c>
      <x:c r="F14" s="12" t="n">
        <x:v>108500</x:v>
      </x:c>
      <x:c r="G14" s="12" t="n">
        <x:v>0</x:v>
      </x:c>
      <x:c r="H14" s="12" t="n">
        <x:f>F14-G14</x:f>
        <x:v>108500</x:v>
      </x:c>
      <x:c r="I14" s="12" t="n">
        <x:v>0</x:v>
      </x:c>
      <x:c r="J14" s="12" t="n">
        <x:v>0</x:v>
      </x:c>
      <x:c r="K14" s="2" t="str">
        <x:v>https://mc.coupang.com/ssr/desktop/order/25100190712860</x:v>
      </x:c>
      <x:c r="L14" s="2" t="str"/>
    </x:row>
    <x:row r="15" ht="25" customHeight="1">
      <x:c r="A15" s="6" t="n">
        <x:v>46147</x:v>
      </x:c>
      <x:c r="B15" s="2" t="n">
        <x:v>2026</x:v>
      </x:c>
      <x:c r="C15" s="8" t="str">
        <x:v>25100188867108</x:v>
      </x:c>
      <x:c r="D15" s="2" t="str">
        <x:v>배송완료</x:v>
      </x:c>
      <x:c r="E15" s="2" t="n">
        <x:v>1</x:v>
      </x:c>
      <x:c r="F15" s="12" t="n">
        <x:v>20900</x:v>
      </x:c>
      <x:c r="G15" s="12" t="n">
        <x:v>0</x:v>
      </x:c>
      <x:c r="H15" s="12" t="n">
        <x:f>F15-G15</x:f>
        <x:v>20900</x:v>
      </x:c>
      <x:c r="I15" s="12" t="n">
        <x:v>0</x:v>
      </x:c>
      <x:c r="J15" s="12" t="n">
        <x:v>0</x:v>
      </x:c>
      <x:c r="K15" s="2" t="str">
        <x:v>https://mc.coupang.com/ssr/desktop/order/25100188867108</x:v>
      </x:c>
      <x:c r="L15" s="2" t="str"/>
    </x:row>
    <x:row r="16" ht="25" customHeight="1">
      <x:c r="A16" s="6" t="n">
        <x:v>46125</x:v>
      </x:c>
      <x:c r="B16" s="2" t="n">
        <x:v>2026</x:v>
      </x:c>
      <x:c r="C16" s="8" t="str">
        <x:v>25100184143125</x:v>
      </x:c>
      <x:c r="D16" s="2" t="str">
        <x:v>배송완료</x:v>
      </x:c>
      <x:c r="E16" s="2" t="n">
        <x:v>1</x:v>
      </x:c>
      <x:c r="F16" s="12" t="n">
        <x:v>79800</x:v>
      </x:c>
      <x:c r="G16" s="12" t="n">
        <x:v>0</x:v>
      </x:c>
      <x:c r="H16" s="12" t="n">
        <x:f>F16-G16</x:f>
        <x:v>79800</x:v>
      </x:c>
      <x:c r="I16" s="12" t="n">
        <x:v>0</x:v>
      </x:c>
      <x:c r="J16" s="12" t="n">
        <x:v>0</x:v>
      </x:c>
      <x:c r="K16" s="2" t="str">
        <x:v>https://mc.coupang.com/ssr/desktop/order/25100184143125</x:v>
      </x:c>
      <x:c r="L16" s="2" t="str"/>
    </x:row>
    <x:row r="17" ht="25" customHeight="1">
      <x:c r="A17" s="6" t="n">
        <x:v>46108</x:v>
      </x:c>
      <x:c r="B17" s="2" t="n">
        <x:v>2026</x:v>
      </x:c>
      <x:c r="C17" s="8" t="str">
        <x:v>25100180374584</x:v>
      </x:c>
      <x:c r="D17" s="2" t="str">
        <x:v>배송완료</x:v>
      </x:c>
      <x:c r="E17" s="2" t="n">
        <x:v>1</x:v>
      </x:c>
      <x:c r="F17" s="12" t="n">
        <x:v>9980</x:v>
      </x:c>
      <x:c r="G17" s="12" t="n">
        <x:v>0</x:v>
      </x:c>
      <x:c r="H17" s="12" t="n">
        <x:f>F17-G17</x:f>
        <x:v>9980</x:v>
      </x:c>
      <x:c r="I17" s="12" t="n">
        <x:v>0</x:v>
      </x:c>
      <x:c r="J17" s="12" t="n">
        <x:v>0</x:v>
      </x:c>
      <x:c r="K17" s="2" t="str">
        <x:v>https://mc.coupang.com/ssr/desktop/order/25100180374584</x:v>
      </x:c>
      <x:c r="L17" s="2" t="str"/>
    </x:row>
    <x:row r="18" ht="25" customHeight="1">
      <x:c r="A18" s="6" t="n">
        <x:v>46096</x:v>
      </x:c>
      <x:c r="B18" s="2" t="n">
        <x:v>2026</x:v>
      </x:c>
      <x:c r="C18" s="8" t="str">
        <x:v>25100177916697</x:v>
      </x:c>
      <x:c r="D18" s="2" t="str">
        <x:v>반품완료</x:v>
      </x:c>
      <x:c r="E18" s="2" t="n">
        <x:v>1</x:v>
      </x:c>
      <x:c r="F18" s="12" t="n">
        <x:v>97900</x:v>
      </x:c>
      <x:c r="G18" s="12" t="n">
        <x:v>97900</x:v>
      </x:c>
      <x:c r="H18" s="12" t="n">
        <x:f>F18-G18</x:f>
        <x:v>0</x:v>
      </x:c>
      <x:c r="I18" s="12" t="n">
        <x:v>0</x:v>
      </x:c>
      <x:c r="J18" s="12" t="n">
        <x:v>0</x:v>
      </x:c>
      <x:c r="K18" s="2" t="str">
        <x:v>https://mc.coupang.com/ssr/desktop/order/25100177916697</x:v>
      </x:c>
      <x:c r="L18" s="2" t="str">
        <x:v>https://mc.coupang.com/ssr/desktop/cancel-return-exchange/detail?orderId=25100177916697&amp;receiptId=1677831122&amp;receiptType=RETURN</x:v>
      </x:c>
    </x:row>
    <x:row r="19" ht="25" customHeight="1">
      <x:c r="A19" s="6" t="n">
        <x:v>46064</x:v>
      </x:c>
      <x:c r="B19" s="2" t="n">
        <x:v>2026</x:v>
      </x:c>
      <x:c r="C19" s="8" t="str">
        <x:v>25100171313618</x:v>
      </x:c>
      <x:c r="D19" s="2" t="str">
        <x:v>배송완료</x:v>
      </x:c>
      <x:c r="E19" s="2" t="n">
        <x:v>1</x:v>
      </x:c>
      <x:c r="F19" s="12" t="n">
        <x:v>117000</x:v>
      </x:c>
      <x:c r="G19" s="12" t="n">
        <x:v>0</x:v>
      </x:c>
      <x:c r="H19" s="12" t="n">
        <x:f>F19-G19</x:f>
        <x:v>117000</x:v>
      </x:c>
      <x:c r="I19" s="12" t="n">
        <x:v>0</x:v>
      </x:c>
      <x:c r="J19" s="12" t="n">
        <x:v>0</x:v>
      </x:c>
      <x:c r="K19" s="2" t="str">
        <x:v>https://mc.coupang.com/ssr/desktop/order/25100171313618</x:v>
      </x:c>
      <x:c r="L19" s="2" t="str"/>
    </x:row>
    <x:row r="20" ht="25" customHeight="1">
      <x:c r="A20" s="6" t="n">
        <x:v>46051</x:v>
      </x:c>
      <x:c r="B20" s="2" t="n">
        <x:v>2026</x:v>
      </x:c>
      <x:c r="C20" s="8" t="str">
        <x:v>25100168608673</x:v>
      </x:c>
      <x:c r="D20" s="2" t="str">
        <x:v>배송완료</x:v>
      </x:c>
      <x:c r="E20" s="2" t="n">
        <x:v>1</x:v>
      </x:c>
      <x:c r="F20" s="12" t="n">
        <x:v>51990</x:v>
      </x:c>
      <x:c r="G20" s="12" t="n">
        <x:v>0</x:v>
      </x:c>
      <x:c r="H20" s="12" t="n">
        <x:f>F20-G20</x:f>
        <x:v>51990</x:v>
      </x:c>
      <x:c r="I20" s="12" t="n">
        <x:v>0</x:v>
      </x:c>
      <x:c r="J20" s="12" t="n">
        <x:v>0</x:v>
      </x:c>
      <x:c r="K20" s="2" t="str">
        <x:v>https://mc.coupang.com/ssr/desktop/order/25100168608673</x:v>
      </x:c>
      <x:c r="L20" s="2" t="str"/>
    </x:row>
    <x:row r="21" ht="25" customHeight="1">
      <x:c r="A21" s="6" t="n">
        <x:v>46014</x:v>
      </x:c>
      <x:c r="B21" s="2" t="n">
        <x:v>2025</x:v>
      </x:c>
      <x:c r="C21" s="8" t="str">
        <x:v>25100161263927</x:v>
      </x:c>
      <x:c r="D21" s="2" t="str">
        <x:v>배송완료</x:v>
      </x:c>
      <x:c r="E21" s="2" t="n">
        <x:v>1</x:v>
      </x:c>
      <x:c r="F21" s="12" t="n">
        <x:v>17110</x:v>
      </x:c>
      <x:c r="G21" s="12" t="n">
        <x:v>0</x:v>
      </x:c>
      <x:c r="H21" s="12" t="n">
        <x:f>F21-G21</x:f>
        <x:v>17110</x:v>
      </x:c>
      <x:c r="I21" s="12" t="n">
        <x:v>0</x:v>
      </x:c>
      <x:c r="J21" s="12" t="n">
        <x:v>0</x:v>
      </x:c>
      <x:c r="K21" s="2" t="str">
        <x:v>https://mc.coupang.com/ssr/desktop/order/25100161263927</x:v>
      </x:c>
      <x:c r="L21" s="2" t="str"/>
    </x:row>
    <x:row r="22" ht="25" customHeight="1">
      <x:c r="A22" s="6" t="n">
        <x:v>45966</x:v>
      </x:c>
      <x:c r="B22" s="2" t="n">
        <x:v>2025</x:v>
      </x:c>
      <x:c r="C22" s="8" t="str">
        <x:v>25100151245317</x:v>
      </x:c>
      <x:c r="D22" s="2" t="str">
        <x:v>취소완료</x:v>
      </x:c>
      <x:c r="E22" s="2" t="n">
        <x:v>4</x:v>
      </x:c>
      <x:c r="F22" s="12" t="n">
        <x:v>19600</x:v>
      </x:c>
      <x:c r="G22" s="12" t="n">
        <x:v>19600</x:v>
      </x:c>
      <x:c r="H22" s="12" t="n">
        <x:f>F22-G22</x:f>
        <x:v>0</x:v>
      </x:c>
      <x:c r="I22" s="12" t="n">
        <x:v>0</x:v>
      </x:c>
      <x:c r="J22" s="12" t="n">
        <x:v>0</x:v>
      </x:c>
      <x:c r="K22" s="2" t="str">
        <x:v>https://mc.coupang.com/ssr/desktop/order/25100151245317</x:v>
      </x:c>
      <x:c r="L22" s="2" t="str">
        <x:v>https://mc.coupang.com/ssr/desktop/cancel-return-exchange/detail?orderId=25100151245317&amp;receiptId=1530854389&amp;receiptType=CANCEL</x:v>
      </x:c>
    </x:row>
    <x:row r="23" ht="25" customHeight="1">
      <x:c r="A23" s="6" t="n">
        <x:v>45949</x:v>
      </x:c>
      <x:c r="B23" s="2" t="n">
        <x:v>2025</x:v>
      </x:c>
      <x:c r="C23" s="8" t="str">
        <x:v>25100147595682</x:v>
      </x:c>
      <x:c r="D23" s="2" t="str">
        <x:v>배송완료</x:v>
      </x:c>
      <x:c r="E23" s="2" t="n">
        <x:v>1</x:v>
      </x:c>
      <x:c r="F23" s="12" t="n">
        <x:v>58900</x:v>
      </x:c>
      <x:c r="G23" s="12" t="n">
        <x:v>0</x:v>
      </x:c>
      <x:c r="H23" s="12" t="n">
        <x:f>F23-G23</x:f>
        <x:v>58900</x:v>
      </x:c>
      <x:c r="I23" s="12" t="n">
        <x:v>0</x:v>
      </x:c>
      <x:c r="J23" s="12" t="n">
        <x:v>0</x:v>
      </x:c>
      <x:c r="K23" s="2" t="str">
        <x:v>https://mc.coupang.com/ssr/desktop/order/25100147595682</x:v>
      </x:c>
      <x:c r="L23" s="2" t="str"/>
    </x:row>
    <x:row r="24" ht="25" customHeight="1">
      <x:c r="A24" s="6" t="n">
        <x:v>45922</x:v>
      </x:c>
      <x:c r="B24" s="2" t="n">
        <x:v>2025</x:v>
      </x:c>
      <x:c r="C24" s="8" t="str">
        <x:v>25100141913184</x:v>
      </x:c>
      <x:c r="D24" s="2" t="str">
        <x:v>배송완료</x:v>
      </x:c>
      <x:c r="E24" s="2" t="n">
        <x:v>1</x:v>
      </x:c>
      <x:c r="F24" s="12" t="n">
        <x:v>15200</x:v>
      </x:c>
      <x:c r="G24" s="12" t="n">
        <x:v>0</x:v>
      </x:c>
      <x:c r="H24" s="12" t="n">
        <x:f>F24-G24</x:f>
        <x:v>15200</x:v>
      </x:c>
      <x:c r="I24" s="12" t="n">
        <x:v>0</x:v>
      </x:c>
      <x:c r="J24" s="12" t="n">
        <x:v>0</x:v>
      </x:c>
      <x:c r="K24" s="2" t="str">
        <x:v>https://mc.coupang.com/ssr/desktop/order/25100141913184</x:v>
      </x:c>
      <x:c r="L24" s="2" t="str"/>
    </x:row>
    <x:row r="25" ht="25" customHeight="1">
      <x:c r="A25" s="6" t="n">
        <x:v>45913</x:v>
      </x:c>
      <x:c r="B25" s="2" t="n">
        <x:v>2025</x:v>
      </x:c>
      <x:c r="C25" s="8" t="str">
        <x:v>25100140173283</x:v>
      </x:c>
      <x:c r="D25" s="2" t="str">
        <x:v>배송완료</x:v>
      </x:c>
      <x:c r="E25" s="2" t="n">
        <x:v>1</x:v>
      </x:c>
      <x:c r="F25" s="12" t="n">
        <x:v>3050800</x:v>
      </x:c>
      <x:c r="G25" s="12" t="n">
        <x:v>0</x:v>
      </x:c>
      <x:c r="H25" s="12" t="n">
        <x:f>F25-G25</x:f>
        <x:v>3050800</x:v>
      </x:c>
      <x:c r="I25" s="12" t="n">
        <x:v>0</x:v>
      </x:c>
      <x:c r="J25" s="12" t="n">
        <x:v>0</x:v>
      </x:c>
      <x:c r="K25" s="2" t="str">
        <x:v>https://mc.coupang.com/ssr/desktop/order/25100140173283</x:v>
      </x:c>
      <x:c r="L25" s="2" t="str"/>
    </x:row>
    <x:row r="26" ht="25" customHeight="1">
      <x:c r="A26" s="6" t="n">
        <x:v>45913</x:v>
      </x:c>
      <x:c r="B26" s="2" t="n">
        <x:v>2025</x:v>
      </x:c>
      <x:c r="C26" s="8" t="str">
        <x:v>25100140166397</x:v>
      </x:c>
      <x:c r="D26" s="2" t="str">
        <x:v>취소완료</x:v>
      </x:c>
      <x:c r="E26" s="2" t="n">
        <x:v>1</x:v>
      </x:c>
      <x:c r="F26" s="12" t="n">
        <x:v>3050800</x:v>
      </x:c>
      <x:c r="G26" s="12" t="n">
        <x:v>3050800</x:v>
      </x:c>
      <x:c r="H26" s="12" t="n">
        <x:f>F26-G26</x:f>
        <x:v>0</x:v>
      </x:c>
      <x:c r="I26" s="12" t="n">
        <x:v>0</x:v>
      </x:c>
      <x:c r="J26" s="12" t="n">
        <x:v>0</x:v>
      </x:c>
      <x:c r="K26" s="2" t="str">
        <x:v>https://mc.coupang.com/ssr/desktop/order/25100140166397</x:v>
      </x:c>
      <x:c r="L26" s="2" t="str">
        <x:v>https://mc.coupang.com/ssr/desktop/cancel-return-exchange/detail?orderId=25100140166397&amp;receiptId=1475434161&amp;receiptType=CANCEL</x:v>
      </x:c>
    </x:row>
    <x:row r="27" ht="25" customHeight="1">
      <x:c r="A27" s="6" t="n">
        <x:v>45900</x:v>
      </x:c>
      <x:c r="B27" s="2" t="n">
        <x:v>2025</x:v>
      </x:c>
      <x:c r="C27" s="8" t="str">
        <x:v>25100137105400</x:v>
      </x:c>
      <x:c r="D27" s="2" t="str">
        <x:v>배송완료</x:v>
      </x:c>
      <x:c r="E27" s="2" t="n">
        <x:v>1</x:v>
      </x:c>
      <x:c r="F27" s="12" t="n">
        <x:v>15520</x:v>
      </x:c>
      <x:c r="G27" s="12" t="n">
        <x:v>0</x:v>
      </x:c>
      <x:c r="H27" s="12" t="n">
        <x:f>F27-G27</x:f>
        <x:v>15520</x:v>
      </x:c>
      <x:c r="I27" s="12" t="n">
        <x:v>0</x:v>
      </x:c>
      <x:c r="J27" s="12" t="n">
        <x:v>0</x:v>
      </x:c>
      <x:c r="K27" s="2" t="str">
        <x:v>https://mc.coupang.com/ssr/desktop/order/25100137105400</x:v>
      </x:c>
      <x:c r="L27" s="2" t="str"/>
    </x:row>
    <x:row r="28" ht="25" customHeight="1">
      <x:c r="A28" s="6" t="n">
        <x:v>45891</x:v>
      </x:c>
      <x:c r="B28" s="2" t="n">
        <x:v>2025</x:v>
      </x:c>
      <x:c r="C28" s="8" t="str">
        <x:v>25100135310396</x:v>
      </x:c>
      <x:c r="D28" s="2" t="str">
        <x:v>배송완료</x:v>
      </x:c>
      <x:c r="E28" s="2" t="n">
        <x:v>1</x:v>
      </x:c>
      <x:c r="F28" s="12" t="n">
        <x:v>5370</x:v>
      </x:c>
      <x:c r="G28" s="12" t="n">
        <x:v>0</x:v>
      </x:c>
      <x:c r="H28" s="12" t="n">
        <x:f>F28-G28</x:f>
        <x:v>5370</x:v>
      </x:c>
      <x:c r="I28" s="12" t="n">
        <x:v>3000</x:v>
      </x:c>
      <x:c r="J28" s="12" t="n">
        <x:v>0</x:v>
      </x:c>
      <x:c r="K28" s="2" t="str">
        <x:v>https://mc.coupang.com/ssr/desktop/order/25100135310396</x:v>
      </x:c>
      <x:c r="L28" s="2" t="str"/>
    </x:row>
    <x:row r="29" ht="25" customHeight="1">
      <x:c r="A29" s="6" t="n">
        <x:v>45858</x:v>
      </x:c>
      <x:c r="B29" s="2" t="n">
        <x:v>2025</x:v>
      </x:c>
      <x:c r="C29" s="8" t="str">
        <x:v>25100127830678</x:v>
      </x:c>
      <x:c r="D29" s="2" t="str">
        <x:v>배송완료</x:v>
      </x:c>
      <x:c r="E29" s="2" t="n">
        <x:v>1</x:v>
      </x:c>
      <x:c r="F29" s="12" t="n">
        <x:v>5900</x:v>
      </x:c>
      <x:c r="G29" s="12" t="n">
        <x:v>0</x:v>
      </x:c>
      <x:c r="H29" s="12" t="n">
        <x:f>F29-G29</x:f>
        <x:v>5900</x:v>
      </x:c>
      <x:c r="I29" s="12" t="n">
        <x:v>0</x:v>
      </x:c>
      <x:c r="J29" s="12" t="n">
        <x:v>0</x:v>
      </x:c>
      <x:c r="K29" s="2" t="str">
        <x:v>https://mc.coupang.com/ssr/desktop/order/25100127830678</x:v>
      </x:c>
      <x:c r="L29" s="2" t="str"/>
    </x:row>
    <x:row r="30" ht="25" customHeight="1">
      <x:c r="A30" s="6" t="n">
        <x:v>45831</x:v>
      </x:c>
      <x:c r="B30" s="2" t="n">
        <x:v>2025</x:v>
      </x:c>
      <x:c r="C30" s="8" t="str">
        <x:v>25100121849807</x:v>
      </x:c>
      <x:c r="D30" s="2" t="str">
        <x:v>배송완료</x:v>
      </x:c>
      <x:c r="E30" s="2" t="n">
        <x:v>1</x:v>
      </x:c>
      <x:c r="F30" s="12" t="n">
        <x:v>4380</x:v>
      </x:c>
      <x:c r="G30" s="12" t="n">
        <x:v>0</x:v>
      </x:c>
      <x:c r="H30" s="12" t="n">
        <x:f>F30-G30</x:f>
        <x:v>4380</x:v>
      </x:c>
      <x:c r="I30" s="12" t="n">
        <x:v>0</x:v>
      </x:c>
      <x:c r="J30" s="12" t="n">
        <x:v>0</x:v>
      </x:c>
      <x:c r="K30" s="2" t="str">
        <x:v>https://mc.coupang.com/ssr/desktop/order/25100121849807</x:v>
      </x:c>
      <x:c r="L30" s="2" t="str"/>
    </x:row>
    <x:row r="31" ht="25" customHeight="1">
      <x:c r="A31" s="6" t="n">
        <x:v>45817</x:v>
      </x:c>
      <x:c r="B31" s="2" t="n">
        <x:v>2025</x:v>
      </x:c>
      <x:c r="C31" s="8" t="str">
        <x:v>25100118788482</x:v>
      </x:c>
      <x:c r="D31" s="2" t="str">
        <x:v>배송완료</x:v>
      </x:c>
      <x:c r="E31" s="2" t="n">
        <x:v>1</x:v>
      </x:c>
      <x:c r="F31" s="12" t="n">
        <x:v>0</x:v>
      </x:c>
      <x:c r="G31" s="12" t="n">
        <x:v>0</x:v>
      </x:c>
      <x:c r="H31" s="12" t="n">
        <x:f>F31-G31</x:f>
        <x:v>0</x:v>
      </x:c>
      <x:c r="I31" s="12" t="n">
        <x:v>0</x:v>
      </x:c>
      <x:c r="J31" s="12" t="n">
        <x:v>0</x:v>
      </x:c>
      <x:c r="K31" s="2" t="str">
        <x:v>https://mc.coupang.com/ssr/desktop/order/25100118788482</x:v>
      </x:c>
      <x:c r="L31" s="2" t="str"/>
    </x:row>
    <x:row r="32" ht="25" customHeight="1">
      <x:c r="A32" s="6" t="n">
        <x:v>45722</x:v>
      </x:c>
      <x:c r="B32" s="2" t="n">
        <x:v>2025</x:v>
      </x:c>
      <x:c r="C32" s="8" t="str">
        <x:v>25100100165320</x:v>
      </x:c>
      <x:c r="D32" s="2" t="str">
        <x:v>반품완료</x:v>
      </x:c>
      <x:c r="E32" s="2" t="n">
        <x:v>1</x:v>
      </x:c>
      <x:c r="F32" s="12" t="n">
        <x:v>47000</x:v>
      </x:c>
      <x:c r="G32" s="12" t="n">
        <x:v>40500</x:v>
      </x:c>
      <x:c r="H32" s="12" t="n">
        <x:f>F32-G32</x:f>
        <x:v>6500</x:v>
      </x:c>
      <x:c r="I32" s="12" t="n">
        <x:v>3000</x:v>
      </x:c>
      <x:c r="J32" s="12" t="n">
        <x:v>0</x:v>
      </x:c>
      <x:c r="K32" s="2" t="str">
        <x:v>https://mc.coupang.com/ssr/desktop/order/25100100165320</x:v>
      </x:c>
      <x:c r="L32" s="2" t="str">
        <x:v>https://mc.coupang.com/ssr/desktop/cancel-return-exchange/detail?orderId=25100100165320&amp;receiptId=1285503364&amp;receiptType=RETURN</x:v>
      </x:c>
    </x:row>
    <x:row r="33" ht="25" customHeight="1">
      <x:c r="A33" s="6" t="n">
        <x:v>45719</x:v>
      </x:c>
      <x:c r="B33" s="2" t="n">
        <x:v>2025</x:v>
      </x:c>
      <x:c r="C33" s="8" t="str">
        <x:v>25100099662379</x:v>
      </x:c>
      <x:c r="D33" s="2" t="str">
        <x:v>배송완료</x:v>
      </x:c>
      <x:c r="E33" s="2" t="n">
        <x:v>1</x:v>
      </x:c>
      <x:c r="F33" s="12" t="n">
        <x:v>3990</x:v>
      </x:c>
      <x:c r="G33" s="12" t="n">
        <x:v>0</x:v>
      </x:c>
      <x:c r="H33" s="12" t="n">
        <x:f>F33-G33</x:f>
        <x:v>3990</x:v>
      </x:c>
      <x:c r="I33" s="12" t="n">
        <x:v>0</x:v>
      </x:c>
      <x:c r="J33" s="12" t="n">
        <x:v>0</x:v>
      </x:c>
      <x:c r="K33" s="2" t="str">
        <x:v>https://mc.coupang.com/ssr/desktop/order/25100099662379</x:v>
      </x:c>
      <x:c r="L33" s="2" t="str"/>
    </x:row>
    <x:row r="34" ht="25" customHeight="1">
      <x:c r="A34" s="6" t="n">
        <x:v>45708</x:v>
      </x:c>
      <x:c r="B34" s="2" t="n">
        <x:v>2025</x:v>
      </x:c>
      <x:c r="C34" s="8" t="str">
        <x:v>25100097555955</x:v>
      </x:c>
      <x:c r="D34" s="2" t="str">
        <x:v>배송완료</x:v>
      </x:c>
      <x:c r="E34" s="2" t="n">
        <x:v>2</x:v>
      </x:c>
      <x:c r="F34" s="12" t="n">
        <x:v>48390</x:v>
      </x:c>
      <x:c r="G34" s="12" t="n">
        <x:v>0</x:v>
      </x:c>
      <x:c r="H34" s="12" t="n">
        <x:f>F34-G34</x:f>
        <x:v>48390</x:v>
      </x:c>
      <x:c r="I34" s="12" t="n">
        <x:v>0</x:v>
      </x:c>
      <x:c r="J34" s="12" t="n">
        <x:v>0</x:v>
      </x:c>
      <x:c r="K34" s="2" t="str">
        <x:v>https://mc.coupang.com/ssr/desktop/order/25100097555955</x:v>
      </x:c>
      <x:c r="L34" s="2" t="str"/>
    </x:row>
    <x:row r="35" ht="25" customHeight="1">
      <x:c r="A35" s="6" t="n">
        <x:v>45704</x:v>
      </x:c>
      <x:c r="B35" s="2" t="n">
        <x:v>2025</x:v>
      </x:c>
      <x:c r="C35" s="8" t="str">
        <x:v>25100096622439</x:v>
      </x:c>
      <x:c r="D35" s="2" t="str">
        <x:v>배송완료</x:v>
      </x:c>
      <x:c r="E35" s="2" t="n">
        <x:v>1</x:v>
      </x:c>
      <x:c r="F35" s="12" t="n">
        <x:v>14230</x:v>
      </x:c>
      <x:c r="G35" s="12" t="n">
        <x:v>0</x:v>
      </x:c>
      <x:c r="H35" s="12" t="n">
        <x:f>F35-G35</x:f>
        <x:v>14230</x:v>
      </x:c>
      <x:c r="I35" s="12" t="n">
        <x:v>0</x:v>
      </x:c>
      <x:c r="J35" s="12" t="n">
        <x:v>0</x:v>
      </x:c>
      <x:c r="K35" s="2" t="str">
        <x:v>https://mc.coupang.com/ssr/desktop/order/25100096622439</x:v>
      </x:c>
      <x:c r="L35" s="2" t="str"/>
    </x:row>
    <x:row r="36" ht="25" customHeight="1">
      <x:c r="A36" s="6" t="n">
        <x:v>45668</x:v>
      </x:c>
      <x:c r="B36" s="2" t="n">
        <x:v>2025</x:v>
      </x:c>
      <x:c r="C36" s="8" t="str">
        <x:v>25100090204531</x:v>
      </x:c>
      <x:c r="D36" s="2" t="str">
        <x:v>반품완료</x:v>
      </x:c>
      <x:c r="E36" s="2" t="n">
        <x:v>1</x:v>
      </x:c>
      <x:c r="F36" s="12" t="n">
        <x:v>1615000</x:v>
      </x:c>
      <x:c r="G36" s="12" t="n">
        <x:v>1615000</x:v>
      </x:c>
      <x:c r="H36" s="12" t="n">
        <x:f>F36-G36</x:f>
        <x:v>0</x:v>
      </x:c>
      <x:c r="I36" s="12" t="n">
        <x:v>0</x:v>
      </x:c>
      <x:c r="J36" s="12" t="n">
        <x:v>0</x:v>
      </x:c>
      <x:c r="K36" s="2" t="str">
        <x:v>https://mc.coupang.com/ssr/desktop/order/25100090204531</x:v>
      </x:c>
      <x:c r="L36" s="2" t="str">
        <x:v>https://mc.coupang.com/ssr/desktop/cancel-return-exchange/detail?orderId=25100090204531&amp;receiptId=1243889856&amp;receiptType=RETURN</x:v>
      </x:c>
    </x:row>
    <x:row r="37" ht="25" customHeight="1">
      <x:c r="A37" s="6" t="n">
        <x:v>45644</x:v>
      </x:c>
      <x:c r="B37" s="2" t="n">
        <x:v>2024</x:v>
      </x:c>
      <x:c r="C37" s="8" t="str">
        <x:v>25100085839404</x:v>
      </x:c>
      <x:c r="D37" s="2" t="str">
        <x:v>배송완료</x:v>
      </x:c>
      <x:c r="E37" s="2" t="n">
        <x:v>1</x:v>
      </x:c>
      <x:c r="F37" s="12" t="n">
        <x:v>13000</x:v>
      </x:c>
      <x:c r="G37" s="12" t="n">
        <x:v>0</x:v>
      </x:c>
      <x:c r="H37" s="12" t="n">
        <x:f>F37-G37</x:f>
        <x:v>13000</x:v>
      </x:c>
      <x:c r="I37" s="12" t="n">
        <x:v>3000</x:v>
      </x:c>
      <x:c r="J37" s="12" t="n">
        <x:v>0</x:v>
      </x:c>
      <x:c r="K37" s="2" t="str">
        <x:v>https://mc.coupang.com/ssr/desktop/order/25100085839404</x:v>
      </x:c>
      <x:c r="L37" s="2" t="str"/>
    </x:row>
    <x:row r="38" ht="25" customHeight="1">
      <x:c r="A38" s="6" t="n">
        <x:v>45632</x:v>
      </x:c>
      <x:c r="B38" s="2" t="n">
        <x:v>2024</x:v>
      </x:c>
      <x:c r="C38" s="8" t="str">
        <x:v>25100083576964</x:v>
      </x:c>
      <x:c r="D38" s="2" t="str">
        <x:v>배송완료</x:v>
      </x:c>
      <x:c r="E38" s="2" t="n">
        <x:v>1</x:v>
      </x:c>
      <x:c r="F38" s="12" t="n">
        <x:v>32640</x:v>
      </x:c>
      <x:c r="G38" s="12" t="n">
        <x:v>0</x:v>
      </x:c>
      <x:c r="H38" s="12" t="n">
        <x:f>F38-G38</x:f>
        <x:v>32640</x:v>
      </x:c>
      <x:c r="I38" s="12" t="n">
        <x:v>0</x:v>
      </x:c>
      <x:c r="J38" s="12" t="n">
        <x:v>0</x:v>
      </x:c>
      <x:c r="K38" s="2" t="str">
        <x:v>https://mc.coupang.com/ssr/desktop/order/25100083576964</x:v>
      </x:c>
      <x:c r="L38" s="2" t="str"/>
    </x:row>
    <x:row r="39" ht="25" customHeight="1">
      <x:c r="A39" s="6" t="n">
        <x:v>45618</x:v>
      </x:c>
      <x:c r="B39" s="2" t="n">
        <x:v>2024</x:v>
      </x:c>
      <x:c r="C39" s="8" t="str">
        <x:v>25100080996392</x:v>
      </x:c>
      <x:c r="D39" s="2" t="str">
        <x:v>배송완료</x:v>
      </x:c>
      <x:c r="E39" s="2" t="n">
        <x:v>1</x:v>
      </x:c>
      <x:c r="F39" s="12" t="n">
        <x:v>52850</x:v>
      </x:c>
      <x:c r="G39" s="12" t="n">
        <x:v>0</x:v>
      </x:c>
      <x:c r="H39" s="12" t="n">
        <x:f>F39-G39</x:f>
        <x:v>52850</x:v>
      </x:c>
      <x:c r="I39" s="12" t="n">
        <x:v>0</x:v>
      </x:c>
      <x:c r="J39" s="12" t="n">
        <x:v>0</x:v>
      </x:c>
      <x:c r="K39" s="2" t="str">
        <x:v>https://mc.coupang.com/ssr/desktop/order/25100080996392</x:v>
      </x:c>
      <x:c r="L39" s="2" t="str"/>
    </x:row>
    <x:row r="40" ht="25" customHeight="1">
      <x:c r="A40" s="6" t="n">
        <x:v>45573</x:v>
      </x:c>
      <x:c r="B40" s="2" t="n">
        <x:v>2024</x:v>
      </x:c>
      <x:c r="C40" s="8" t="str">
        <x:v>25100073261894</x:v>
      </x:c>
      <x:c r="D40" s="2" t="str">
        <x:v>반품완료</x:v>
      </x:c>
      <x:c r="E40" s="2" t="n">
        <x:v>1</x:v>
      </x:c>
      <x:c r="F40" s="12" t="n">
        <x:v>1250000</x:v>
      </x:c>
      <x:c r="G40" s="12" t="n">
        <x:v>1250000</x:v>
      </x:c>
      <x:c r="H40" s="12" t="n">
        <x:f>F40-G40</x:f>
        <x:v>0</x:v>
      </x:c>
      <x:c r="I40" s="12" t="n">
        <x:v>0</x:v>
      </x:c>
      <x:c r="J40" s="12" t="n">
        <x:v>0</x:v>
      </x:c>
      <x:c r="K40" s="2" t="str">
        <x:v>https://mc.coupang.com/ssr/desktop/order/25100073261894</x:v>
      </x:c>
      <x:c r="L40" s="2" t="str">
        <x:v>https://mc.coupang.com/ssr/desktop/cancel-return-exchange/detail?orderId=25100073261894&amp;receiptId=1151410920&amp;receiptType=RETURN</x:v>
      </x:c>
    </x:row>
    <x:row r="41" ht="25" customHeight="1">
      <x:c r="A41" s="6" t="n">
        <x:v>45570</x:v>
      </x:c>
      <x:c r="B41" s="2" t="n">
        <x:v>2024</x:v>
      </x:c>
      <x:c r="C41" s="8" t="str">
        <x:v>25100072676630</x:v>
      </x:c>
      <x:c r="D41" s="2" t="str">
        <x:v>배송완료</x:v>
      </x:c>
      <x:c r="E41" s="2" t="n">
        <x:v>1</x:v>
      </x:c>
      <x:c r="F41" s="12" t="n">
        <x:v>7700</x:v>
      </x:c>
      <x:c r="G41" s="12" t="n">
        <x:v>0</x:v>
      </x:c>
      <x:c r="H41" s="12" t="n">
        <x:f>F41-G41</x:f>
        <x:v>7700</x:v>
      </x:c>
      <x:c r="I41" s="12" t="n">
        <x:v>0</x:v>
      </x:c>
      <x:c r="J41" s="12" t="n">
        <x:v>0</x:v>
      </x:c>
      <x:c r="K41" s="2" t="str">
        <x:v>https://mc.coupang.com/ssr/desktop/order/25100072676630</x:v>
      </x:c>
      <x:c r="L41" s="2" t="str"/>
    </x:row>
    <x:row r="42" ht="25" customHeight="1">
      <x:c r="A42" s="6" t="n">
        <x:v>45567</x:v>
      </x:c>
      <x:c r="B42" s="2" t="n">
        <x:v>2024</x:v>
      </x:c>
      <x:c r="C42" s="8" t="str">
        <x:v>25100072161800</x:v>
      </x:c>
      <x:c r="D42" s="2" t="str">
        <x:v>배송완료</x:v>
      </x:c>
      <x:c r="E42" s="2" t="n">
        <x:v>1</x:v>
      </x:c>
      <x:c r="F42" s="12" t="n">
        <x:v>22900</x:v>
      </x:c>
      <x:c r="G42" s="12" t="n">
        <x:v>0</x:v>
      </x:c>
      <x:c r="H42" s="12" t="n">
        <x:f>F42-G42</x:f>
        <x:v>22900</x:v>
      </x:c>
      <x:c r="I42" s="12" t="n">
        <x:v>0</x:v>
      </x:c>
      <x:c r="J42" s="12" t="n">
        <x:v>0</x:v>
      </x:c>
      <x:c r="K42" s="2" t="str">
        <x:v>https://mc.coupang.com/ssr/desktop/order/25100072161800</x:v>
      </x:c>
      <x:c r="L42" s="2" t="str"/>
    </x:row>
    <x:row r="43" ht="25" customHeight="1">
      <x:c r="A43" s="6" t="n">
        <x:v>45560</x:v>
      </x:c>
      <x:c r="B43" s="2" t="n">
        <x:v>2024</x:v>
      </x:c>
      <x:c r="C43" s="8" t="str">
        <x:v>25100071024777</x:v>
      </x:c>
      <x:c r="D43" s="2" t="str">
        <x:v>배송완료</x:v>
      </x:c>
      <x:c r="E43" s="2" t="n">
        <x:v>1</x:v>
      </x:c>
      <x:c r="F43" s="12" t="n">
        <x:v>12480</x:v>
      </x:c>
      <x:c r="G43" s="12" t="n">
        <x:v>0</x:v>
      </x:c>
      <x:c r="H43" s="12" t="n">
        <x:f>F43-G43</x:f>
        <x:v>12480</x:v>
      </x:c>
      <x:c r="I43" s="12" t="n">
        <x:v>2500</x:v>
      </x:c>
      <x:c r="J43" s="12" t="n">
        <x:v>0</x:v>
      </x:c>
      <x:c r="K43" s="2" t="str">
        <x:v>https://mc.coupang.com/ssr/desktop/order/25100071024777</x:v>
      </x:c>
      <x:c r="L43" s="2" t="str"/>
    </x:row>
    <x:row r="44" ht="25" customHeight="1">
      <x:c r="A44" s="6" t="n">
        <x:v>45554</x:v>
      </x:c>
      <x:c r="B44" s="2" t="n">
        <x:v>2024</x:v>
      </x:c>
      <x:c r="C44" s="8" t="str">
        <x:v>25100069848615</x:v>
      </x:c>
      <x:c r="D44" s="2" t="str">
        <x:v>배송완료</x:v>
      </x:c>
      <x:c r="E44" s="2" t="n">
        <x:v>1</x:v>
      </x:c>
      <x:c r="F44" s="12" t="n">
        <x:v>302500</x:v>
      </x:c>
      <x:c r="G44" s="12" t="n">
        <x:v>0</x:v>
      </x:c>
      <x:c r="H44" s="12" t="n">
        <x:f>F44-G44</x:f>
        <x:v>302500</x:v>
      </x:c>
      <x:c r="I44" s="12" t="n">
        <x:v>0</x:v>
      </x:c>
      <x:c r="J44" s="12" t="n">
        <x:v>1500</x:v>
      </x:c>
      <x:c r="K44" s="2" t="str">
        <x:v>https://mc.coupang.com/ssr/desktop/order/25100069848615</x:v>
      </x:c>
      <x:c r="L44" s="2" t="str"/>
    </x:row>
    <x:row r="45" ht="25" customHeight="1">
      <x:c r="A45" s="6" t="n">
        <x:v>45547</x:v>
      </x:c>
      <x:c r="B45" s="2" t="n">
        <x:v>2024</x:v>
      </x:c>
      <x:c r="C45" s="8" t="str">
        <x:v>25100068916304</x:v>
      </x:c>
      <x:c r="D45" s="2" t="str">
        <x:v>배송완료</x:v>
      </x:c>
      <x:c r="E45" s="2" t="n">
        <x:v>1</x:v>
      </x:c>
      <x:c r="F45" s="12" t="n">
        <x:v>46900</x:v>
      </x:c>
      <x:c r="G45" s="12" t="n">
        <x:v>0</x:v>
      </x:c>
      <x:c r="H45" s="12" t="n">
        <x:f>F45-G45</x:f>
        <x:v>46900</x:v>
      </x:c>
      <x:c r="I45" s="12" t="n">
        <x:v>0</x:v>
      </x:c>
      <x:c r="J45" s="12" t="n">
        <x:v>0</x:v>
      </x:c>
      <x:c r="K45" s="2" t="str">
        <x:v>https://mc.coupang.com/ssr/desktop/order/25100068916304</x:v>
      </x:c>
      <x:c r="L45" s="2" t="str"/>
    </x:row>
    <x:row r="46" ht="25" customHeight="1">
      <x:c r="A46" s="6" t="n">
        <x:v>45545</x:v>
      </x:c>
      <x:c r="B46" s="2" t="n">
        <x:v>2024</x:v>
      </x:c>
      <x:c r="C46" s="8" t="str">
        <x:v>25100068651267</x:v>
      </x:c>
      <x:c r="D46" s="2" t="str">
        <x:v>배송완료</x:v>
      </x:c>
      <x:c r="E46" s="2" t="n">
        <x:v>1</x:v>
      </x:c>
      <x:c r="F46" s="12" t="n">
        <x:v>29900</x:v>
      </x:c>
      <x:c r="G46" s="12" t="n">
        <x:v>0</x:v>
      </x:c>
      <x:c r="H46" s="12" t="n">
        <x:f>F46-G46</x:f>
        <x:v>29900</x:v>
      </x:c>
      <x:c r="I46" s="12" t="n">
        <x:v>0</x:v>
      </x:c>
      <x:c r="J46" s="12" t="n">
        <x:v>0</x:v>
      </x:c>
      <x:c r="K46" s="2" t="str">
        <x:v>https://mc.coupang.com/ssr/desktop/order/25100068651267</x:v>
      </x:c>
      <x:c r="L46" s="2" t="str"/>
    </x:row>
    <x:row r="47" ht="25" customHeight="1">
      <x:c r="A47" s="6" t="n">
        <x:v>45503</x:v>
      </x:c>
      <x:c r="B47" s="2" t="n">
        <x:v>2024</x:v>
      </x:c>
      <x:c r="C47" s="8" t="str">
        <x:v>25100061135396</x:v>
      </x:c>
      <x:c r="D47" s="2" t="str">
        <x:v>배송완료</x:v>
      </x:c>
      <x:c r="E47" s="2" t="n">
        <x:v>1</x:v>
      </x:c>
      <x:c r="F47" s="12" t="n">
        <x:v>14900</x:v>
      </x:c>
      <x:c r="G47" s="12" t="n">
        <x:v>0</x:v>
      </x:c>
      <x:c r="H47" s="12" t="n">
        <x:f>F47-G47</x:f>
        <x:v>14900</x:v>
      </x:c>
      <x:c r="I47" s="12" t="n">
        <x:v>0</x:v>
      </x:c>
      <x:c r="J47" s="12" t="n">
        <x:v>0</x:v>
      </x:c>
      <x:c r="K47" s="2" t="str">
        <x:v>https://mc.coupang.com/ssr/desktop/order/25100061135396</x:v>
      </x:c>
      <x:c r="L47" s="2" t="str"/>
    </x:row>
    <x:row r="48" ht="25" customHeight="1">
      <x:c r="A48" s="6" t="n">
        <x:v>45472</x:v>
      </x:c>
      <x:c r="B48" s="2" t="n">
        <x:v>2024</x:v>
      </x:c>
      <x:c r="C48" s="8" t="str">
        <x:v>25100055685341</x:v>
      </x:c>
      <x:c r="D48" s="2" t="str">
        <x:v>배송완료</x:v>
      </x:c>
      <x:c r="E48" s="2" t="n">
        <x:v>1</x:v>
      </x:c>
      <x:c r="F48" s="12" t="n">
        <x:v>288000</x:v>
      </x:c>
      <x:c r="G48" s="12" t="n">
        <x:v>0</x:v>
      </x:c>
      <x:c r="H48" s="12" t="n">
        <x:f>F48-G48</x:f>
        <x:v>288000</x:v>
      </x:c>
      <x:c r="I48" s="12" t="n">
        <x:v>0</x:v>
      </x:c>
      <x:c r="J48" s="12" t="n">
        <x:v>0</x:v>
      </x:c>
      <x:c r="K48" s="2" t="str">
        <x:v>https://mc.coupang.com/ssr/desktop/order/25100055685341</x:v>
      </x:c>
      <x:c r="L48" s="2" t="str"/>
    </x:row>
    <x:row r="49" ht="25" customHeight="1">
      <x:c r="A49" s="6" t="n">
        <x:v>45464</x:v>
      </x:c>
      <x:c r="B49" s="2" t="n">
        <x:v>2024</x:v>
      </x:c>
      <x:c r="C49" s="8" t="str">
        <x:v>25100054235471</x:v>
      </x:c>
      <x:c r="D49" s="2" t="str">
        <x:v>배송완료</x:v>
      </x:c>
      <x:c r="E49" s="2" t="n">
        <x:v>1</x:v>
      </x:c>
      <x:c r="F49" s="12" t="n">
        <x:v>34900</x:v>
      </x:c>
      <x:c r="G49" s="12" t="n">
        <x:v>0</x:v>
      </x:c>
      <x:c r="H49" s="12" t="n">
        <x:f>F49-G49</x:f>
        <x:v>34900</x:v>
      </x:c>
      <x:c r="I49" s="12" t="n">
        <x:v>0</x:v>
      </x:c>
      <x:c r="J49" s="12" t="n">
        <x:v>0</x:v>
      </x:c>
      <x:c r="K49" s="2" t="str">
        <x:v>https://mc.coupang.com/ssr/desktop/order/25100054235471</x:v>
      </x:c>
      <x:c r="L49" s="2" t="str"/>
    </x:row>
    <x:row r="50" ht="25" customHeight="1">
      <x:c r="A50" s="6" t="n">
        <x:v>45462</x:v>
      </x:c>
      <x:c r="B50" s="2" t="n">
        <x:v>2024</x:v>
      </x:c>
      <x:c r="C50" s="8" t="str">
        <x:v>25100054034648</x:v>
      </x:c>
      <x:c r="D50" s="2" t="str">
        <x:v>반품완료</x:v>
      </x:c>
      <x:c r="E50" s="2" t="n">
        <x:v>1</x:v>
      </x:c>
      <x:c r="F50" s="12" t="n">
        <x:v>209300</x:v>
      </x:c>
      <x:c r="G50" s="12" t="n">
        <x:v>209300</x:v>
      </x:c>
      <x:c r="H50" s="12" t="n">
        <x:f>F50-G50</x:f>
        <x:v>0</x:v>
      </x:c>
      <x:c r="I50" s="12" t="n">
        <x:v>0</x:v>
      </x:c>
      <x:c r="J50" s="12" t="n">
        <x:v>0</x:v>
      </x:c>
      <x:c r="K50" s="2" t="str">
        <x:v>https://mc.coupang.com/ssr/desktop/order/25100054034648</x:v>
      </x:c>
      <x:c r="L50" s="2" t="str">
        <x:v>https://mc.coupang.com/ssr/desktop/cancel-return-exchange/detail?orderId=25100054034648&amp;receiptId=1065947960&amp;receiptType=RETURN</x:v>
      </x:c>
    </x:row>
    <x:row r="51">
      <x:c r="A51" s="7" t="n">
        <x:v>45405</x:v>
      </x:c>
      <x:c r="B51" t="n">
        <x:v>2024</x:v>
      </x:c>
      <x:c r="C51" s="9" t="str">
        <x:v>25100044421846</x:v>
      </x:c>
      <x:c r="D51" t="str">
        <x:v>배송완료</x:v>
      </x:c>
      <x:c r="E51" t="n">
        <x:v>1</x:v>
      </x:c>
      <x:c r="F51" s="13" t="n">
        <x:v>11900</x:v>
      </x:c>
      <x:c r="G51" s="13" t="n">
        <x:v>0</x:v>
      </x:c>
      <x:c r="H51" s="13" t="n">
        <x:f>F51-G51</x:f>
        <x:v>11900</x:v>
      </x:c>
      <x:c r="I51" s="13" t="n">
        <x:v>0</x:v>
      </x:c>
      <x:c r="J51" s="13" t="n">
        <x:v>0</x:v>
      </x:c>
      <x:c r="K51" t="str">
        <x:v>https://mc.coupang.com/ssr/desktop/order/25100044421846</x:v>
      </x:c>
      <x:c r="L51" t="str"/>
    </x:row>
  </x:sheetData>
  <x:conditionalFormatting sqref="D7:D51">
    <x:cfRule type="containsText" dxfId="0" priority="1" operator="containsText" text="반품완료"/>
    <x:cfRule type="containsText" dxfId="1" priority="2" operator="containsText" text="취소완료"/>
  </x:conditionalFormatting>
  <x:pageMargins left="0.7" right="0.7" top="0.75" bottom="0.75" header="0.3" footer="0.3"/>
  <x:tableParts count="1">
    <x:tablePart xmlns:r="http://schemas.openxmlformats.org/officeDocument/2006/relationships" r:id="R561eabf7503747b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21" hidden="0" customWidth="1"/>
    <x:col min="3" max="3" width="8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4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쿠팡 상품 내역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/>
      <x:c r="B3" s="4"/>
      <x:c r="C3" s="4"/>
      <x:c r="D3" s="4"/>
      <x:c r="E3" s="4"/>
      <x:c r="F3" s="4"/>
      <x:c r="G3" s="4"/>
      <x:c r="H3" s="4"/>
    </x:row>
    <x:row r="4" ht="25" customHeight="1">
      <x:c r="A4" s="5" t="str">
        <x:v>단가·수량은 주문 화면 기준. 배송비와 환불은 주문별결제에서 확인.</x:v>
      </x:c>
      <x:c r="B4" s="5"/>
      <x:c r="C4" s="5"/>
      <x:c r="D4" s="5"/>
      <x:c r="E4" s="5"/>
      <x:c r="F4" s="5"/>
      <x:c r="G4" s="5"/>
      <x:c r="H4" s="5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17" t="str">
        <x:v>주문일</x:v>
      </x:c>
      <x:c r="B6" s="17" t="str">
        <x:v>주문번호</x:v>
      </x:c>
      <x:c r="C6" s="17" t="str">
        <x:v>상품 및 옵션</x:v>
      </x:c>
      <x:c r="D6" s="17" t="str">
        <x:v>상태</x:v>
      </x:c>
      <x:c r="E6" s="17" t="str">
        <x:v>표시 단가</x:v>
      </x:c>
      <x:c r="F6" s="17" t="str">
        <x:v>주문 수량</x:v>
      </x:c>
      <x:c r="G6" s="17" t="str">
        <x:v>표시금액 × 수량</x:v>
      </x:c>
      <x:c r="H6" s="17" t="str">
        <x:v>비고</x:v>
      </x:c>
    </x:row>
    <x:row r="7" ht="46" customHeight="1">
      <x:c r="A7" s="6" t="n">
        <x:v>46261</x:v>
      </x:c>
      <x:c r="B7" s="8" t="str">
        <x:v>25102568876883</x:v>
      </x:c>
      <x:c r="C7" s="18" t="str">
        <x:v>모두의술판 주루마블 술자리 술게임 커플 다이소 19 뽑기 회식 아이템 밸런스 이미지 주루마블 단체게임</x:v>
      </x:c>
      <x:c r="D7" s="2" t="str">
        <x:v>배송완료</x:v>
      </x:c>
      <x:c r="E7" s="12" t="n">
        <x:v>16900</x:v>
      </x:c>
      <x:c r="F7" s="2" t="n">
        <x:v>1</x:v>
      </x:c>
      <x:c r="G7" s="12" t="n">
        <x:f>E7*F7</x:f>
        <x:v>16900</x:v>
      </x:c>
      <x:c r="H7" s="18" t="str"/>
    </x:row>
    <x:row r="8" ht="38" customHeight="1">
      <x:c r="A8" s="6" t="n">
        <x:v>46252</x:v>
      </x:c>
      <x:c r="B8" s="8" t="str">
        <x:v>25102374952396</x:v>
      </x:c>
      <x:c r="C8" s="18" t="str">
        <x:v>설화수 new 자음 2종 세트, 1세트</x:v>
      </x:c>
      <x:c r="D8" s="2" t="str">
        <x:v>배송완료</x:v>
      </x:c>
      <x:c r="E8" s="12" t="n">
        <x:v>112299</x:v>
      </x:c>
      <x:c r="F8" s="2" t="n">
        <x:v>1</x:v>
      </x:c>
      <x:c r="G8" s="12" t="n">
        <x:f>E8*F8</x:f>
        <x:v>112299</x:v>
      </x:c>
      <x:c r="H8" s="18" t="str"/>
    </x:row>
    <x:row r="9" ht="38" customHeight="1">
      <x:c r="A9" s="6" t="n">
        <x:v>46252</x:v>
      </x:c>
      <x:c r="B9" s="8" t="str">
        <x:v>25102374952396</x:v>
      </x:c>
      <x:c r="C9" s="18" t="str">
        <x:v>설화수 본윤 남성 2종 세트, 1세트</x:v>
      </x:c>
      <x:c r="D9" s="2" t="str">
        <x:v>배송완료</x:v>
      </x:c>
      <x:c r="E9" s="12" t="n">
        <x:v>93601</x:v>
      </x:c>
      <x:c r="F9" s="2" t="n">
        <x:v>1</x:v>
      </x:c>
      <x:c r="G9" s="12" t="n">
        <x:f>E9*F9</x:f>
        <x:v>93601</x:v>
      </x:c>
      <x:c r="H9" s="18" t="str"/>
    </x:row>
    <x:row r="10" ht="38" customHeight="1">
      <x:c r="A10" s="6" t="n">
        <x:v>46217</x:v>
      </x:c>
      <x:c r="B10" s="8" t="str">
        <x:v>25101617657783</x:v>
      </x:c>
      <x:c r="C10" s="18" t="str">
        <x:v>버터와플 이즈니, 3개, 316g</x:v>
      </x:c>
      <x:c r="D10" s="2" t="str">
        <x:v>배송완료</x:v>
      </x:c>
      <x:c r="E10" s="12" t="n">
        <x:v>19020</x:v>
      </x:c>
      <x:c r="F10" s="2" t="n">
        <x:v>1</x:v>
      </x:c>
      <x:c r="G10" s="12" t="n">
        <x:f>E10*F10</x:f>
        <x:v>19020</x:v>
      </x:c>
      <x:c r="H10" s="18" t="str"/>
    </x:row>
    <x:row r="11" ht="64" customHeight="1">
      <x:c r="A11" s="6" t="n">
        <x:v>46208</x:v>
      </x:c>
      <x:c r="B11" s="8" t="str">
        <x:v>25101417287137</x:v>
      </x:c>
      <x:c r="C11" s="18" t="str">
        <x:v>캐스트롤 마그네틱 SQ C3 5W30 1L x 12개 1박스 가솔린 디젤 겸용 100% 합성 엔진오일 (SQ 업그레이드 신제품) 벤츠 MB 229.52 BMW LL-04</x:v>
      </x:c>
      <x:c r="D11" s="2" t="str">
        <x:v>배송완료</x:v>
      </x:c>
      <x:c r="E11" s="12" t="n">
        <x:v>105000</x:v>
      </x:c>
      <x:c r="F11" s="2" t="n">
        <x:v>1</x:v>
      </x:c>
      <x:c r="G11" s="12" t="n">
        <x:f>E11*F11</x:f>
        <x:v>105000</x:v>
      </x:c>
      <x:c r="H11" s="18" t="str"/>
    </x:row>
    <x:row r="12" ht="46" customHeight="1">
      <x:c r="A12" s="6" t="n">
        <x:v>46182</x:v>
      </x:c>
      <x:c r="B12" s="8" t="str">
        <x:v>25100196799299</x:v>
      </x:c>
      <x:c r="C12" s="18" t="str">
        <x:v>윈어블 중량 줄넘기 웨이트 선수용 크로스핏 복싱 헤비 줄넘기 로프, 중량 줄넘기 430g 블랙, 1개, free</x:v>
      </x:c>
      <x:c r="D12" s="2" t="str">
        <x:v>배송완료</x:v>
      </x:c>
      <x:c r="E12" s="12" t="n">
        <x:v>23800</x:v>
      </x:c>
      <x:c r="F12" s="2" t="n">
        <x:v>1</x:v>
      </x:c>
      <x:c r="G12" s="12" t="n">
        <x:f>E12*F12</x:f>
        <x:v>23800</x:v>
      </x:c>
      <x:c r="H12" s="18" t="str"/>
    </x:row>
    <x:row r="13" ht="46" customHeight="1">
      <x:c r="A13" s="6" t="n">
        <x:v>46182</x:v>
      </x:c>
      <x:c r="B13" s="8" t="str">
        <x:v>25100196799104</x:v>
      </x:c>
      <x:c r="C13" s="18" t="str">
        <x:v>아이리버 ENC 노이즈캔슬링 LCD 배터리표시 C타입 충전 무선 블루투스 6.0 이어폰, 블랙, IB-TX4</x:v>
      </x:c>
      <x:c r="D13" s="2" t="str">
        <x:v>배송완료</x:v>
      </x:c>
      <x:c r="E13" s="12" t="n">
        <x:v>24900</x:v>
      </x:c>
      <x:c r="F13" s="2" t="n">
        <x:v>1</x:v>
      </x:c>
      <x:c r="G13" s="12" t="n">
        <x:f>E13*F13</x:f>
        <x:v>24900</x:v>
      </x:c>
      <x:c r="H13" s="18" t="str"/>
    </x:row>
    <x:row r="14" ht="46" customHeight="1">
      <x:c r="A14" s="6" t="n">
        <x:v>46158</x:v>
      </x:c>
      <x:c r="B14" s="8" t="str">
        <x:v>25100191471969</x:v>
      </x:c>
      <x:c r="C14" s="18" t="str">
        <x:v>마이크론 Crucial 2500 M.2 SSD NVMe 1TB PCIe4.0x4 Gen4, 마이크론 2500</x:v>
      </x:c>
      <x:c r="D14" s="2" t="str">
        <x:v>배송완료</x:v>
      </x:c>
      <x:c r="E14" s="12" t="n">
        <x:v>279000</x:v>
      </x:c>
      <x:c r="F14" s="2" t="n">
        <x:v>1</x:v>
      </x:c>
      <x:c r="G14" s="12" t="n">
        <x:f>E14*F14</x:f>
        <x:v>279000</x:v>
      </x:c>
      <x:c r="H14" s="18" t="str"/>
    </x:row>
    <x:row r="15" ht="46" customHeight="1">
      <x:c r="A15" s="6" t="n">
        <x:v>46155</x:v>
      </x:c>
      <x:c r="B15" s="8" t="str">
        <x:v>25100190712860</x:v>
      </x:c>
      <x:c r="C15" s="18" t="str">
        <x:v>옵티멈뉴트리션 플래티넘 하이드로 웨이 프로틴 아이솔레이트 터보 초콜릿, 1.64kg, 1개</x:v>
      </x:c>
      <x:c r="D15" s="2" t="str">
        <x:v>배송완료</x:v>
      </x:c>
      <x:c r="E15" s="12" t="n">
        <x:v>108500</x:v>
      </x:c>
      <x:c r="F15" s="2" t="n">
        <x:v>1</x:v>
      </x:c>
      <x:c r="G15" s="12" t="n">
        <x:f>E15*F15</x:f>
        <x:v>108500</x:v>
      </x:c>
      <x:c r="H15" s="18" t="str"/>
    </x:row>
    <x:row r="16" ht="38" customHeight="1">
      <x:c r="A16" s="6" t="n">
        <x:v>46147</x:v>
      </x:c>
      <x:c r="B16" s="8" t="str">
        <x:v>25100188867108</x:v>
      </x:c>
      <x:c r="C16" s="18" t="str">
        <x:v>주원산오리 오리로스 (냉동), 1kg, 1개</x:v>
      </x:c>
      <x:c r="D16" s="2" t="str">
        <x:v>배송완료</x:v>
      </x:c>
      <x:c r="E16" s="12" t="n">
        <x:v>20900</x:v>
      </x:c>
      <x:c r="F16" s="2" t="n">
        <x:v>1</x:v>
      </x:c>
      <x:c r="G16" s="12" t="n">
        <x:f>E16*F16</x:f>
        <x:v>20900</x:v>
      </x:c>
      <x:c r="H16" s="18" t="str"/>
    </x:row>
    <x:row r="17" ht="46" customHeight="1">
      <x:c r="A17" s="6" t="n">
        <x:v>46125</x:v>
      </x:c>
      <x:c r="B17" s="8" t="str">
        <x:v>25100184143125</x:v>
      </x:c>
      <x:c r="C17" s="18" t="str">
        <x:v>케이스나라 아이패드 미니7 A17 Pro / Mini 6 세대 호환 매직 블루투스 키보드 케이스 커버 한국어, 1개, 블랙, 미니7/미니6세대</x:v>
      </x:c>
      <x:c r="D17" s="2" t="str">
        <x:v>배송완료</x:v>
      </x:c>
      <x:c r="E17" s="12" t="n">
        <x:v>79800</x:v>
      </x:c>
      <x:c r="F17" s="2" t="n">
        <x:v>1</x:v>
      </x:c>
      <x:c r="G17" s="12" t="n">
        <x:f>E17*F17</x:f>
        <x:v>79800</x:v>
      </x:c>
      <x:c r="H17" s="18" t="str"/>
    </x:row>
    <x:row r="18" ht="46" customHeight="1">
      <x:c r="A18" s="6" t="n">
        <x:v>46108</x:v>
      </x:c>
      <x:c r="B18" s="8" t="str">
        <x:v>25100180374584</x:v>
      </x:c>
      <x:c r="C18" s="18" t="str">
        <x:v>아뜰라임 클리어겔 자국없는 초강력 실리콘 양면 테이프 3cm x 5m, 투명, 4개</x:v>
      </x:c>
      <x:c r="D18" s="2" t="str">
        <x:v>배송완료</x:v>
      </x:c>
      <x:c r="E18" s="12" t="n">
        <x:v>9980</x:v>
      </x:c>
      <x:c r="F18" s="2" t="n">
        <x:v>1</x:v>
      </x:c>
      <x:c r="G18" s="12" t="n">
        <x:f>E18*F18</x:f>
        <x:v>9980</x:v>
      </x:c>
      <x:c r="H18" s="18" t="str"/>
    </x:row>
    <x:row r="19" ht="64" customHeight="1">
      <x:c r="A19" s="6" t="n">
        <x:v>46096</x:v>
      </x:c>
      <x:c r="B19" s="8" t="str">
        <x:v>25100177916697</x:v>
      </x:c>
      <x:c r="C19" s="18" t="str">
        <x:v>아이패드 에어7/6/5/4세대 프로 1/2/3/4/5/6/7/8세대 11/12.9/13인치 10/11세대 호환 매직 키보드 블루투스 한글각인 iPad Air/PRO 케이스나라, 블랙-한글 각인, 프로 3/4/5/6 세대 12.9인치</x:v>
      </x:c>
      <x:c r="D19" s="2" t="str">
        <x:v>반품완료</x:v>
      </x:c>
      <x:c r="E19" s="12" t="n">
        <x:v>97900</x:v>
      </x:c>
      <x:c r="F19" s="2" t="n">
        <x:v>1</x:v>
      </x:c>
      <x:c r="G19" s="12" t="n">
        <x:f>E19*F19</x:f>
        <x:v>97900</x:v>
      </x:c>
      <x:c r="H19" s="18" t="str"/>
    </x:row>
    <x:row r="20" ht="46" customHeight="1">
      <x:c r="A20" s="6" t="n">
        <x:v>46064</x:v>
      </x:c>
      <x:c r="B20" s="8" t="str">
        <x:v>25100171313618</x:v>
      </x:c>
      <x:c r="C20" s="18" t="str">
        <x:v>농협안심한우 1+등급 구이선물세트 등심 250g + 채끝 250g + 부채살 200g + 업진살 200g (냉장), 1세트</x:v>
      </x:c>
      <x:c r="D20" s="2" t="str">
        <x:v>배송완료</x:v>
      </x:c>
      <x:c r="E20" s="12" t="n">
        <x:v>117000</x:v>
      </x:c>
      <x:c r="F20" s="2" t="n">
        <x:v>1</x:v>
      </x:c>
      <x:c r="G20" s="12" t="n">
        <x:f>E20*F20</x:f>
        <x:v>117000</x:v>
      </x:c>
      <x:c r="H20" s="18" t="str"/>
    </x:row>
    <x:row r="21" ht="38" customHeight="1">
      <x:c r="A21" s="6" t="n">
        <x:v>46051</x:v>
      </x:c>
      <x:c r="B21" s="8" t="str">
        <x:v>25100168608673</x:v>
      </x:c>
      <x:c r="C21" s="18" t="str">
        <x:v>홈플래닛 리모컨 컨벡션 히터, NDFL1709R</x:v>
      </x:c>
      <x:c r="D21" s="2" t="str">
        <x:v>배송완료</x:v>
      </x:c>
      <x:c r="E21" s="12" t="n">
        <x:v>51990</x:v>
      </x:c>
      <x:c r="F21" s="2" t="n">
        <x:v>1</x:v>
      </x:c>
      <x:c r="G21" s="12" t="n">
        <x:f>E21*F21</x:f>
        <x:v>51990</x:v>
      </x:c>
      <x:c r="H21" s="18" t="str"/>
    </x:row>
    <x:row r="22" ht="64" customHeight="1">
      <x:c r="A22" s="6" t="n">
        <x:v>46014</x:v>
      </x:c>
      <x:c r="B22" s="8" t="str">
        <x:v>25100161263927</x:v>
      </x:c>
      <x:c r="C22" s="18" t="str">
        <x:v>FANXI 보석 상자 반지 상자 긴 벨벳 천 귀걸이 목걸이 팔찌 보석 보관 상자 선물 상자 포장 상자 부모 친척 친구 및 연인 선물 상자에 적합, 1개, H07001반지 케이스(다크 그린)</x:v>
      </x:c>
      <x:c r="D22" s="2" t="str">
        <x:v>배송완료</x:v>
      </x:c>
      <x:c r="E22" s="12" t="n">
        <x:v>8555</x:v>
      </x:c>
      <x:c r="F22" s="2" t="n">
        <x:v>2</x:v>
      </x:c>
      <x:c r="G22" s="12" t="n">
        <x:f>E22*F22</x:f>
        <x:v>17110</x:v>
      </x:c>
      <x:c r="H22" s="18" t="str"/>
    </x:row>
    <x:row r="23" ht="38" customHeight="1">
      <x:c r="A23" s="6" t="n">
        <x:v>45966</x:v>
      </x:c>
      <x:c r="B23" s="8" t="str">
        <x:v>25100151245317</x:v>
      </x:c>
      <x:c r="C23" s="18" t="str">
        <x:v>피치코리아 프로즌 피치 소르베 아이스크림 (냉동), 75g, 1개, 1개입</x:v>
      </x:c>
      <x:c r="D23" s="2" t="str">
        <x:v>취소완료</x:v>
      </x:c>
      <x:c r="E23" s="12" t="n">
        <x:v>4900</x:v>
      </x:c>
      <x:c r="F23" s="2" t="n">
        <x:v>1</x:v>
      </x:c>
      <x:c r="G23" s="12" t="n">
        <x:f>E23*F23</x:f>
        <x:v>4900</x:v>
      </x:c>
      <x:c r="H23" s="18" t="str">
        <x:v>결제실패로 자동취소</x:v>
      </x:c>
    </x:row>
    <x:row r="24" ht="38" customHeight="1">
      <x:c r="A24" s="6" t="n">
        <x:v>45966</x:v>
      </x:c>
      <x:c r="B24" s="8" t="str">
        <x:v>25100151245317</x:v>
      </x:c>
      <x:c r="C24" s="18" t="str">
        <x:v>피치코리아 프로즌 레몬 소르베 아이스크림 (냉동), 75g, 1개, 1개입</x:v>
      </x:c>
      <x:c r="D24" s="2" t="str">
        <x:v>취소완료</x:v>
      </x:c>
      <x:c r="E24" s="12" t="n">
        <x:v>4900</x:v>
      </x:c>
      <x:c r="F24" s="2" t="n">
        <x:v>1</x:v>
      </x:c>
      <x:c r="G24" s="12" t="n">
        <x:f>E24*F24</x:f>
        <x:v>4900</x:v>
      </x:c>
      <x:c r="H24" s="18" t="str">
        <x:v>결제실패로 자동취소</x:v>
      </x:c>
    </x:row>
    <x:row r="25" ht="38" customHeight="1">
      <x:c r="A25" s="6" t="n">
        <x:v>45966</x:v>
      </x:c>
      <x:c r="B25" s="8" t="str">
        <x:v>25100151245317</x:v>
      </x:c>
      <x:c r="C25" s="18" t="str">
        <x:v>피치코리아 프로즌 망고 소르베 아이스크림 (냉동), 75g, 1개, 1개입</x:v>
      </x:c>
      <x:c r="D25" s="2" t="str">
        <x:v>취소완료</x:v>
      </x:c>
      <x:c r="E25" s="12" t="n">
        <x:v>4900</x:v>
      </x:c>
      <x:c r="F25" s="2" t="n">
        <x:v>1</x:v>
      </x:c>
      <x:c r="G25" s="12" t="n">
        <x:f>E25*F25</x:f>
        <x:v>4900</x:v>
      </x:c>
      <x:c r="H25" s="18" t="str">
        <x:v>결제실패로 자동취소</x:v>
      </x:c>
    </x:row>
    <x:row r="26" ht="38" customHeight="1">
      <x:c r="A26" s="6" t="n">
        <x:v>45966</x:v>
      </x:c>
      <x:c r="B26" s="8" t="str">
        <x:v>25100151245317</x:v>
      </x:c>
      <x:c r="C26" s="18" t="str">
        <x:v>피치코리아 프로즌 딸기 소르베 아이스크림 (냉동), 75g, 1개, 1개입</x:v>
      </x:c>
      <x:c r="D26" s="2" t="str">
        <x:v>취소완료</x:v>
      </x:c>
      <x:c r="E26" s="12" t="n">
        <x:v>4900</x:v>
      </x:c>
      <x:c r="F26" s="2" t="n">
        <x:v>1</x:v>
      </x:c>
      <x:c r="G26" s="12" t="n">
        <x:f>E26*F26</x:f>
        <x:v>4900</x:v>
      </x:c>
      <x:c r="H26" s="18" t="str">
        <x:v>결제실패로 자동취소</x:v>
      </x:c>
    </x:row>
    <x:row r="27" ht="46" customHeight="1">
      <x:c r="A27" s="6" t="n">
        <x:v>45949</x:v>
      </x:c>
      <x:c r="B27" s="8" t="str">
        <x:v>25100147595682</x:v>
      </x:c>
      <x:c r="C27" s="18" t="str">
        <x:v>뜨숨 탄소매트 카본매트 사계절 전자파 안심 전기매트, 100x180cm 싱글 차콜</x:v>
      </x:c>
      <x:c r="D27" s="2" t="str">
        <x:v>배송완료</x:v>
      </x:c>
      <x:c r="E27" s="12" t="n">
        <x:v>58900</x:v>
      </x:c>
      <x:c r="F27" s="2" t="n">
        <x:v>1</x:v>
      </x:c>
      <x:c r="G27" s="12" t="n">
        <x:f>E27*F27</x:f>
        <x:v>58900</x:v>
      </x:c>
      <x:c r="H27" s="18" t="str"/>
    </x:row>
    <x:row r="28" ht="46" customHeight="1">
      <x:c r="A28" s="6" t="n">
        <x:v>45922</x:v>
      </x:c>
      <x:c r="B28" s="8" t="str">
        <x:v>25100141913184</x:v>
      </x:c>
      <x:c r="C28" s="18" t="str">
        <x:v>다이아큐브 갤럭시S21울트라 높은좌우시선차단 지문인식지원 사생활보호필름 정렬가이드 간편부착 2P, 갤럭시S21울트라 높은좌우시선차단 사생활보호필름, 2개입</x:v>
      </x:c>
      <x:c r="D28" s="2" t="str">
        <x:v>배송완료</x:v>
      </x:c>
      <x:c r="E28" s="12" t="n">
        <x:v>15200</x:v>
      </x:c>
      <x:c r="F28" s="2" t="n">
        <x:v>1</x:v>
      </x:c>
      <x:c r="G28" s="12" t="n">
        <x:f>E28*F28</x:f>
        <x:v>15200</x:v>
      </x:c>
      <x:c r="H28" s="18" t="str"/>
    </x:row>
    <x:row r="29" ht="46" customHeight="1">
      <x:c r="A29" s="6" t="n">
        <x:v>45913</x:v>
      </x:c>
      <x:c r="B29" s="8" t="str">
        <x:v>25100140173283</x:v>
      </x:c>
      <x:c r="C29" s="18" t="str">
        <x:v>Apple 2024 맥북 프로 14 M4, 실버, M4 Pro 12코어, 16코어, 24GB, 1TB, 70W, 한글</x:v>
      </x:c>
      <x:c r="D29" s="2" t="str">
        <x:v>배송완료</x:v>
      </x:c>
      <x:c r="E29" s="12" t="n">
        <x:v>3050800</x:v>
      </x:c>
      <x:c r="F29" s="2" t="n">
        <x:v>1</x:v>
      </x:c>
      <x:c r="G29" s="12" t="n">
        <x:f>E29*F29</x:f>
        <x:v>3050800</x:v>
      </x:c>
      <x:c r="H29" s="18" t="str"/>
    </x:row>
    <x:row r="30" ht="46" customHeight="1">
      <x:c r="A30" s="6" t="n">
        <x:v>45913</x:v>
      </x:c>
      <x:c r="B30" s="8" t="str">
        <x:v>25100140166397</x:v>
      </x:c>
      <x:c r="C30" s="18" t="str">
        <x:v>Apple 2024 맥북 프로 14 M4, 실버, M4 Pro 12코어, 16코어, 24GB, 1TB, 70W, 한글</x:v>
      </x:c>
      <x:c r="D30" s="2" t="str">
        <x:v>취소완료</x:v>
      </x:c>
      <x:c r="E30" s="12" t="n">
        <x:v>3050800</x:v>
      </x:c>
      <x:c r="F30" s="2" t="n">
        <x:v>1</x:v>
      </x:c>
      <x:c r="G30" s="12" t="n">
        <x:f>E30*F30</x:f>
        <x:v>3050800</x:v>
      </x:c>
      <x:c r="H30" s="18" t="str"/>
    </x:row>
    <x:row r="31" ht="38" customHeight="1">
      <x:c r="A31" s="6" t="n">
        <x:v>45900</x:v>
      </x:c>
      <x:c r="B31" s="8" t="str">
        <x:v>25100137105400</x:v>
      </x:c>
      <x:c r="C31" s="18" t="str">
        <x:v>초코에몽 초코모나카 (냉동), 140ml, 1개입, 8개</x:v>
      </x:c>
      <x:c r="D31" s="2" t="str">
        <x:v>배송완료</x:v>
      </x:c>
      <x:c r="E31" s="12" t="n">
        <x:v>15520</x:v>
      </x:c>
      <x:c r="F31" s="2" t="n">
        <x:v>1</x:v>
      </x:c>
      <x:c r="G31" s="12" t="n">
        <x:f>E31*F31</x:f>
        <x:v>15520</x:v>
      </x:c>
      <x:c r="H31" s="18" t="str"/>
    </x:row>
    <x:row r="32" ht="46" customHeight="1">
      <x:c r="A32" s="6" t="n">
        <x:v>45891</x:v>
      </x:c>
      <x:c r="B32" s="8" t="str">
        <x:v>25100135310396</x:v>
      </x:c>
      <x:c r="C32" s="18" t="str">
        <x:v>아크릴 마카펜 세트 수성 페인트 패브릭 마카 의류용 유리 드로잉 글라스펜 유리펜, 1세트, 12색</x:v>
      </x:c>
      <x:c r="D32" s="2" t="str">
        <x:v>배송완료</x:v>
      </x:c>
      <x:c r="E32" s="12" t="n">
        <x:v>2370</x:v>
      </x:c>
      <x:c r="F32" s="2" t="n">
        <x:v>1</x:v>
      </x:c>
      <x:c r="G32" s="12" t="n">
        <x:f>E32*F32</x:f>
        <x:v>2370</x:v>
      </x:c>
      <x:c r="H32" s="18" t="str"/>
    </x:row>
    <x:row r="33" ht="38" customHeight="1">
      <x:c r="A33" s="6" t="n">
        <x:v>45858</x:v>
      </x:c>
      <x:c r="B33" s="8" t="str">
        <x:v>25100127830678</x:v>
      </x:c>
      <x:c r="C33" s="18" t="str">
        <x:v>이지뷰 안티포그 차량용 스프레이 김서림 방지제, 1개</x:v>
      </x:c>
      <x:c r="D33" s="2" t="str">
        <x:v>배송완료</x:v>
      </x:c>
      <x:c r="E33" s="12" t="n">
        <x:v>5900</x:v>
      </x:c>
      <x:c r="F33" s="2" t="n">
        <x:v>1</x:v>
      </x:c>
      <x:c r="G33" s="12" t="n">
        <x:f>E33*F33</x:f>
        <x:v>5900</x:v>
      </x:c>
      <x:c r="H33" s="18" t="str"/>
    </x:row>
    <x:row r="34" ht="38" customHeight="1">
      <x:c r="A34" s="6" t="n">
        <x:v>45831</x:v>
      </x:c>
      <x:c r="B34" s="8" t="str">
        <x:v>25100121849807</x:v>
      </x:c>
      <x:c r="C34" s="18" t="str">
        <x:v>엘라스틴 프로폴리테라 헤어 세럼, 170ml, 1개</x:v>
      </x:c>
      <x:c r="D34" s="2" t="str">
        <x:v>배송완료</x:v>
      </x:c>
      <x:c r="E34" s="12" t="n">
        <x:v>4380</x:v>
      </x:c>
      <x:c r="F34" s="2" t="n">
        <x:v>1</x:v>
      </x:c>
      <x:c r="G34" s="12" t="n">
        <x:f>E34*F34</x:f>
        <x:v>4380</x:v>
      </x:c>
      <x:c r="H34" s="18" t="str"/>
    </x:row>
    <x:row r="35" ht="38" customHeight="1">
      <x:c r="A35" s="6" t="n">
        <x:v>45817</x:v>
      </x:c>
      <x:c r="B35" s="8" t="str">
        <x:v>25100118788482</x:v>
      </x:c>
      <x:c r="C35" s="18" t="str">
        <x:v>켈리마 차량용 선풍기 USB타입, R8037, 블랙</x:v>
      </x:c>
      <x:c r="D35" s="2" t="str">
        <x:v>배송완료</x:v>
      </x:c>
      <x:c r="E35" s="12" t="n">
        <x:v>0</x:v>
      </x:c>
      <x:c r="F35" s="2" t="n">
        <x:v>1</x:v>
      </x:c>
      <x:c r="G35" s="12" t="n">
        <x:f>E35*F35</x:f>
        <x:v>0</x:v>
      </x:c>
      <x:c r="H35" s="18" t="str"/>
    </x:row>
    <x:row r="36" ht="38" customHeight="1">
      <x:c r="A36" s="6" t="n">
        <x:v>45722</x:v>
      </x:c>
      <x:c r="B36" s="8" t="str">
        <x:v>25100100165320</x:v>
      </x:c>
      <x:c r="C36" s="18" t="str">
        <x:v>네르하 실린더 이케바나 체체 시험관 유리 화병 꽃병, 8구, 소형 15cm</x:v>
      </x:c>
      <x:c r="D36" s="2" t="str">
        <x:v>반품완료</x:v>
      </x:c>
      <x:c r="E36" s="12" t="n">
        <x:v>22000</x:v>
      </x:c>
      <x:c r="F36" s="2" t="n">
        <x:v>2</x:v>
      </x:c>
      <x:c r="G36" s="12" t="n">
        <x:f>E36*F36</x:f>
        <x:v>44000</x:v>
      </x:c>
      <x:c r="H36" s="18" t="str"/>
    </x:row>
    <x:row r="37" ht="38" customHeight="1">
      <x:c r="A37" s="6" t="n">
        <x:v>45719</x:v>
      </x:c>
      <x:c r="B37" s="8" t="str">
        <x:v>25100099662379</x:v>
      </x:c>
      <x:c r="C37" s="18" t="str">
        <x:v>탁상용 접이식 휴대폰 거치대, 접이식 탁상 거치대, 화이트, 1개</x:v>
      </x:c>
      <x:c r="D37" s="2" t="str">
        <x:v>배송완료</x:v>
      </x:c>
      <x:c r="E37" s="12" t="n">
        <x:v>3990</x:v>
      </x:c>
      <x:c r="F37" s="2" t="n">
        <x:v>1</x:v>
      </x:c>
      <x:c r="G37" s="12" t="n">
        <x:f>E37*F37</x:f>
        <x:v>3990</x:v>
      </x:c>
      <x:c r="H37" s="18" t="str"/>
    </x:row>
    <x:row r="38" ht="38" customHeight="1">
      <x:c r="A38" s="6" t="n">
        <x:v>45708</x:v>
      </x:c>
      <x:c r="B38" s="8" t="str">
        <x:v>25100097555955</x:v>
      </x:c>
      <x:c r="C38" s="18" t="str">
        <x:v>소하임 사계절 소프트터치 워싱 차렵이불, 이브닝그린, 퀸</x:v>
      </x:c>
      <x:c r="D38" s="2" t="str">
        <x:v>배송완료</x:v>
      </x:c>
      <x:c r="E38" s="12" t="n">
        <x:v>28500</x:v>
      </x:c>
      <x:c r="F38" s="2" t="n">
        <x:v>1</x:v>
      </x:c>
      <x:c r="G38" s="12" t="n">
        <x:f>E38*F38</x:f>
        <x:v>28500</x:v>
      </x:c>
      <x:c r="H38" s="18" t="str"/>
    </x:row>
    <x:row r="39" ht="46" customHeight="1">
      <x:c r="A39" s="6" t="n">
        <x:v>45708</x:v>
      </x:c>
      <x:c r="B39" s="8" t="str">
        <x:v>25100097555955</x:v>
      </x:c>
      <x:c r="C39" s="18" t="str">
        <x:v>송림라이프 5성급 호텔 베개 2P 세트 힐튼 베개솜, 화이트, 2개, 48 * 74cm</x:v>
      </x:c>
      <x:c r="D39" s="2" t="str">
        <x:v>배송완료</x:v>
      </x:c>
      <x:c r="E39" s="12" t="n">
        <x:v>19890</x:v>
      </x:c>
      <x:c r="F39" s="2" t="n">
        <x:v>1</x:v>
      </x:c>
      <x:c r="G39" s="12" t="n">
        <x:f>E39*F39</x:f>
        <x:v>19890</x:v>
      </x:c>
      <x:c r="H39" s="18" t="str"/>
    </x:row>
    <x:row r="40" ht="46" customHeight="1">
      <x:c r="A40" s="6" t="n">
        <x:v>45704</x:v>
      </x:c>
      <x:c r="B40" s="8" t="str">
        <x:v>25100096622439</x:v>
      </x:c>
      <x:c r="C40" s="18" t="str">
        <x:v>링사이드코리아 복싱 미니 글러브 미니어쳐 가방 키링 열쇠고리 크리스마스 트리장식 선물, 미니글러브 1쌍, 1세트, 레드, Free size</x:v>
      </x:c>
      <x:c r="D40" s="2" t="str">
        <x:v>배송완료</x:v>
      </x:c>
      <x:c r="E40" s="12" t="n">
        <x:v>14230</x:v>
      </x:c>
      <x:c r="F40" s="2" t="n">
        <x:v>1</x:v>
      </x:c>
      <x:c r="G40" s="12" t="n">
        <x:f>E40*F40</x:f>
        <x:v>14230</x:v>
      </x:c>
      <x:c r="H40" s="18" t="str"/>
    </x:row>
    <x:row r="41" ht="38" customHeight="1">
      <x:c r="A41" s="6" t="n">
        <x:v>45668</x:v>
      </x:c>
      <x:c r="B41" s="8" t="str">
        <x:v>25100090204531</x:v>
      </x:c>
      <x:c r="C41" s="18" t="str">
        <x:v>Apple 정품 아이폰 16 Pro 자급제, 데저트 티타늄, 256GB</x:v>
      </x:c>
      <x:c r="D41" s="2" t="str">
        <x:v>반품완료</x:v>
      </x:c>
      <x:c r="E41" s="12" t="n">
        <x:v>1615000</x:v>
      </x:c>
      <x:c r="F41" s="2" t="n">
        <x:v>1</x:v>
      </x:c>
      <x:c r="G41" s="12" t="n">
        <x:f>E41*F41</x:f>
        <x:v>1615000</x:v>
      </x:c>
      <x:c r="H41" s="18" t="str"/>
    </x:row>
    <x:row r="42" ht="38" customHeight="1">
      <x:c r="A42" s="6" t="n">
        <x:v>45644</x:v>
      </x:c>
      <x:c r="B42" s="8" t="str">
        <x:v>25100085839404</x:v>
      </x:c>
      <x:c r="C42" s="18" t="str">
        <x:v>카드봉투 100매(소/중/대/A5), (A5)</x:v>
      </x:c>
      <x:c r="D42" s="2" t="str">
        <x:v>배송완료</x:v>
      </x:c>
      <x:c r="E42" s="12" t="n">
        <x:v>10000</x:v>
      </x:c>
      <x:c r="F42" s="2" t="n">
        <x:v>1</x:v>
      </x:c>
      <x:c r="G42" s="12" t="n">
        <x:f>E42*F42</x:f>
        <x:v>10000</x:v>
      </x:c>
      <x:c r="H42" s="18" t="str"/>
    </x:row>
    <x:row r="43" ht="46" customHeight="1">
      <x:c r="A43" s="6" t="n">
        <x:v>45632</x:v>
      </x:c>
      <x:c r="B43" s="8" t="str">
        <x:v>25100083576964</x:v>
      </x:c>
      <x:c r="C43" s="18" t="str">
        <x:v>솔러스에어 5L 대용량 스테인리스 진동자 가습기 무드등, AIR5001HUW, 화이트</x:v>
      </x:c>
      <x:c r="D43" s="2" t="str">
        <x:v>배송완료</x:v>
      </x:c>
      <x:c r="E43" s="12" t="n">
        <x:v>32640</x:v>
      </x:c>
      <x:c r="F43" s="2" t="n">
        <x:v>1</x:v>
      </x:c>
      <x:c r="G43" s="12" t="n">
        <x:f>E43*F43</x:f>
        <x:v>32640</x:v>
      </x:c>
      <x:c r="H43" s="18" t="str"/>
    </x:row>
    <x:row r="44" ht="38" customHeight="1">
      <x:c r="A44" s="6" t="n">
        <x:v>45618</x:v>
      </x:c>
      <x:c r="B44" s="8" t="str">
        <x:v>25100080996392</x:v>
      </x:c>
      <x:c r="C44" s="18" t="str">
        <x:v>루아즈 오로라 블루투스 무드등, 혼합색상</x:v>
      </x:c>
      <x:c r="D44" s="2" t="str">
        <x:v>배송완료</x:v>
      </x:c>
      <x:c r="E44" s="12" t="n">
        <x:v>26425</x:v>
      </x:c>
      <x:c r="F44" s="2" t="n">
        <x:v>2</x:v>
      </x:c>
      <x:c r="G44" s="12" t="n">
        <x:f>E44*F44</x:f>
        <x:v>52850</x:v>
      </x:c>
      <x:c r="H44" s="18" t="str"/>
    </x:row>
    <x:row r="45" ht="38" customHeight="1">
      <x:c r="A45" s="6" t="n">
        <x:v>45573</x:v>
      </x:c>
      <x:c r="B45" s="8" t="str">
        <x:v>25100073261894</x:v>
      </x:c>
      <x:c r="C45" s="18" t="str">
        <x:v>Apple 정품 아이폰 16 자급제, 화이트, 128GB</x:v>
      </x:c>
      <x:c r="D45" s="2" t="str">
        <x:v>반품완료</x:v>
      </x:c>
      <x:c r="E45" s="12" t="n">
        <x:v>1250000</x:v>
      </x:c>
      <x:c r="F45" s="2" t="n">
        <x:v>1</x:v>
      </x:c>
      <x:c r="G45" s="12" t="n">
        <x:f>E45*F45</x:f>
        <x:v>1250000</x:v>
      </x:c>
      <x:c r="H45" s="18" t="str"/>
    </x:row>
    <x:row r="46" ht="38" customHeight="1">
      <x:c r="A46" s="6" t="n">
        <x:v>45570</x:v>
      </x:c>
      <x:c r="B46" s="8" t="str">
        <x:v>25100072676630</x:v>
      </x:c>
      <x:c r="C46" s="18" t="str">
        <x:v>솔리마켓 향수 공병옮기기 리필도구 소분 주사기 10개, 1세트</x:v>
      </x:c>
      <x:c r="D46" s="2" t="str">
        <x:v>배송완료</x:v>
      </x:c>
      <x:c r="E46" s="12" t="n">
        <x:v>7700</x:v>
      </x:c>
      <x:c r="F46" s="2" t="n">
        <x:v>1</x:v>
      </x:c>
      <x:c r="G46" s="12" t="n">
        <x:f>E46*F46</x:f>
        <x:v>7700</x:v>
      </x:c>
      <x:c r="H46" s="18" t="str"/>
    </x:row>
    <x:row r="47" ht="46" customHeight="1">
      <x:c r="A47" s="6" t="n">
        <x:v>45567</x:v>
      </x:c>
      <x:c r="B47" s="8" t="str">
        <x:v>25100072161800</x:v>
      </x:c>
      <x:c r="C47" s="18" t="str">
        <x:v>대용량 15W무선충전 PD22.5W QC3.0 맥세이프 호환 맥세이프보조배터리 10000mAh, 그린</x:v>
      </x:c>
      <x:c r="D47" s="2" t="str">
        <x:v>배송완료</x:v>
      </x:c>
      <x:c r="E47" s="12" t="n">
        <x:v>22900</x:v>
      </x:c>
      <x:c r="F47" s="2" t="n">
        <x:v>1</x:v>
      </x:c>
      <x:c r="G47" s="12" t="n">
        <x:f>E47*F47</x:f>
        <x:v>22900</x:v>
      </x:c>
      <x:c r="H47" s="18" t="str"/>
    </x:row>
    <x:row r="48" ht="46" customHeight="1">
      <x:c r="A48" s="6" t="n">
        <x:v>45560</x:v>
      </x:c>
      <x:c r="B48" s="8" t="str">
        <x:v>25100071024777</x:v>
      </x:c>
      <x:c r="C48" s="18" t="str">
        <x:v>[DJ] 레이 i30cw 케이파이브 구형i30 폴딩키 고무 교체 홀더, 구형3버튼1개, 1개</x:v>
      </x:c>
      <x:c r="D48" s="2" t="str">
        <x:v>배송완료</x:v>
      </x:c>
      <x:c r="E48" s="12" t="n">
        <x:v>4990</x:v>
      </x:c>
      <x:c r="F48" s="2" t="n">
        <x:v>2</x:v>
      </x:c>
      <x:c r="G48" s="12" t="n">
        <x:f>E48*F48</x:f>
        <x:v>9980</x:v>
      </x:c>
      <x:c r="H48" s="18" t="str"/>
    </x:row>
    <x:row r="49" ht="46" customHeight="1">
      <x:c r="A49" s="6" t="n">
        <x:v>45554</x:v>
      </x:c>
      <x:c r="B49" s="8" t="str">
        <x:v>25100069848615</x:v>
      </x:c>
      <x:c r="C49" s="18" t="str">
        <x:v>Apple 2023 에어팟 프로 2세대 USB-C 블루투스 이어폰, 화이트, MTJV3KH/A</x:v>
      </x:c>
      <x:c r="D49" s="2" t="str">
        <x:v>배송완료</x:v>
      </x:c>
      <x:c r="E49" s="12" t="n">
        <x:v>302500</x:v>
      </x:c>
      <x:c r="F49" s="2" t="n">
        <x:v>1</x:v>
      </x:c>
      <x:c r="G49" s="12" t="n">
        <x:f>E49*F49</x:f>
        <x:v>302500</x:v>
      </x:c>
      <x:c r="H49" s="18" t="str">
        <x:v>단가에 선물 포장비 1,500원 포함</x:v>
      </x:c>
    </x:row>
    <x:row r="50" ht="46" customHeight="1">
      <x:c r="A50" s="6" t="n">
        <x:v>45547</x:v>
      </x:c>
      <x:c r="B50" s="8" t="str">
        <x:v>25100068916304</x:v>
      </x:c>
      <x:c r="C50" s="18" t="str">
        <x:v>로모스 PEA40 Pro 초고속 충전 65W 대용량 보조배터리 40000mAh 멀티단자, PEA40-282, 블랙</x:v>
      </x:c>
      <x:c r="D50" s="2" t="str">
        <x:v>배송완료</x:v>
      </x:c>
      <x:c r="E50" s="12" t="n">
        <x:v>46900</x:v>
      </x:c>
      <x:c r="F50" s="2" t="n">
        <x:v>1</x:v>
      </x:c>
      <x:c r="G50" s="12" t="n">
        <x:f>E50*F50</x:f>
        <x:v>46900</x:v>
      </x:c>
      <x:c r="H50" s="18" t="str"/>
    </x:row>
    <x:row r="51" ht="38" customHeight="1">
      <x:c r="A51" s="6" t="n">
        <x:v>45545</x:v>
      </x:c>
      <x:c r="B51" s="8" t="str">
        <x:v>25100068651267</x:v>
      </x:c>
      <x:c r="C51" s="18" t="str">
        <x:v>모리츠 레트로 빈티지 무선 전기주전자 그린 1.7L, MO-2KG670H</x:v>
      </x:c>
      <x:c r="D51" s="2" t="str">
        <x:v>배송완료</x:v>
      </x:c>
      <x:c r="E51" s="12" t="n">
        <x:v>29900</x:v>
      </x:c>
      <x:c r="F51" s="2" t="n">
        <x:v>1</x:v>
      </x:c>
      <x:c r="G51" s="12" t="n">
        <x:f>E51*F51</x:f>
        <x:v>29900</x:v>
      </x:c>
      <x:c r="H51" s="18" t="str"/>
    </x:row>
    <x:row r="52" ht="46" customHeight="1">
      <x:c r="A52" s="6" t="n">
        <x:v>45503</x:v>
      </x:c>
      <x:c r="B52" s="8" t="str">
        <x:v>25100061135396</x:v>
      </x:c>
      <x:c r="C52" s="18" t="str">
        <x:v>위너리스 빈티지 벽걸이 우체통 전원주택 우편함 철제우체통, 화이트, 22x7x30cm</x:v>
      </x:c>
      <x:c r="D52" s="2" t="str">
        <x:v>배송완료</x:v>
      </x:c>
      <x:c r="E52" s="12" t="n">
        <x:v>14900</x:v>
      </x:c>
      <x:c r="F52" s="2" t="n">
        <x:v>1</x:v>
      </x:c>
      <x:c r="G52" s="12" t="n">
        <x:f>E52*F52</x:f>
        <x:v>14900</x:v>
      </x:c>
      <x:c r="H52" s="18" t="str"/>
    </x:row>
    <x:row r="53" ht="38" customHeight="1">
      <x:c r="A53" s="6" t="n">
        <x:v>45472</x:v>
      </x:c>
      <x:c r="B53" s="8" t="str">
        <x:v>25100055685341</x:v>
      </x:c>
      <x:c r="C53" s="18" t="str">
        <x:v>미니아 미니 건조기 PRO, 화이트</x:v>
      </x:c>
      <x:c r="D53" s="2" t="str">
        <x:v>배송완료</x:v>
      </x:c>
      <x:c r="E53" s="12" t="n">
        <x:v>288000</x:v>
      </x:c>
      <x:c r="F53" s="2" t="n">
        <x:v>1</x:v>
      </x:c>
      <x:c r="G53" s="12" t="n">
        <x:f>E53*F53</x:f>
        <x:v>288000</x:v>
      </x:c>
      <x:c r="H53" s="18" t="str"/>
    </x:row>
    <x:row r="54" ht="46" customHeight="1">
      <x:c r="A54" s="6" t="n">
        <x:v>45464</x:v>
      </x:c>
      <x:c r="B54" s="8" t="str">
        <x:v>25100054235471</x:v>
      </x:c>
      <x:c r="C54" s="18" t="str">
        <x:v>eyimtech 가정용 인형 뽑기 장난감, 1개, 초대형-그린(인형뽑기x1 캡슐x10 인형x20)</x:v>
      </x:c>
      <x:c r="D54" s="2" t="str">
        <x:v>배송완료</x:v>
      </x:c>
      <x:c r="E54" s="12" t="n">
        <x:v>34900</x:v>
      </x:c>
      <x:c r="F54" s="2" t="n">
        <x:v>1</x:v>
      </x:c>
      <x:c r="G54" s="12" t="n">
        <x:f>E54*F54</x:f>
        <x:v>34900</x:v>
      </x:c>
      <x:c r="H54" s="18" t="str"/>
    </x:row>
    <x:row r="55" ht="38" customHeight="1">
      <x:c r="A55" s="6" t="n">
        <x:v>45462</x:v>
      </x:c>
      <x:c r="B55" s="8" t="str">
        <x:v>25100054034648</x:v>
      </x:c>
      <x:c r="C55" s="18" t="str">
        <x:v>미닉스 미니건조기 PRO 3kg, MNMD-110GR, 네이처 그린</x:v>
      </x:c>
      <x:c r="D55" s="2" t="str">
        <x:v>반품완료</x:v>
      </x:c>
      <x:c r="E55" s="12" t="n">
        <x:v>209300</x:v>
      </x:c>
      <x:c r="F55" s="2" t="n">
        <x:v>1</x:v>
      </x:c>
      <x:c r="G55" s="12" t="n">
        <x:f>E55*F55</x:f>
        <x:v>209300</x:v>
      </x:c>
      <x:c r="H55" s="18" t="str"/>
    </x:row>
    <x:row r="56" ht="38" customHeight="1">
      <x:c r="A56" s="6" t="n">
        <x:v>45405</x:v>
      </x:c>
      <x:c r="B56" s="8" t="str">
        <x:v>25100044421846</x:v>
      </x:c>
      <x:c r="C56" s="18" t="str">
        <x:v>올가 워터 솔루블 프리미엄 마사지 젤, 1개, 150ml</x:v>
      </x:c>
      <x:c r="D56" s="2" t="str">
        <x:v>배송완료</x:v>
      </x:c>
      <x:c r="E56" s="12" t="n">
        <x:v>11900</x:v>
      </x:c>
      <x:c r="F56" s="2" t="n">
        <x:v>1</x:v>
      </x:c>
      <x:c r="G56" s="12" t="n">
        <x:f>E56*F56</x:f>
        <x:v>11900</x:v>
      </x:c>
      <x:c r="H56" s="18" t="str"/>
    </x:row>
  </x:sheetData>
  <x:conditionalFormatting sqref="D7:D56">
    <x:cfRule type="containsText" dxfId="2" priority="1" operator="containsText" text="반품완료"/>
    <x:cfRule type="containsText" dxfId="3" priority="2" operator="containsText" text="취소완료"/>
  </x:conditionalFormatting>
  <x:pageMargins left="0.7" right="0.7" top="0.75" bottom="0.75" header="0.3" footer="0.3"/>
  <x:tableParts count="1">
    <x:tablePart xmlns:r="http://schemas.openxmlformats.org/officeDocument/2006/relationships" r:id="Re5f313884b624d52"/>
  </x:tableParts>
</x:worksheet>
</file>